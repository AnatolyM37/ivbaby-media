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'Динамика'!$A$2:$A$18</f>
            </numRef>
          </cat>
          <val>
            <numRef>
              <f>'Динамика'!$B$2:$B$18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посты'!$B$2:$B$16</f>
            </numRef>
          </cat>
          <val>
            <numRef>
              <f>'Наши посты'!$G$2:$G$16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Relationship Type="http://schemas.openxmlformats.org/officeDocument/2006/relationships/hyperlink" Target="https://www.instagram.com/reel/DexK31oAuYN/" TargetMode="External" Id="rId10" /><Relationship Type="http://schemas.openxmlformats.org/officeDocument/2006/relationships/hyperlink" Target="https://www.instagram.com/p/De2UHsaoH-M/" TargetMode="External" Id="rId11" /><Relationship Type="http://schemas.openxmlformats.org/officeDocument/2006/relationships/hyperlink" Target="https://www.instagram.com/p/De7W_jNGNKQ/" TargetMode="External" Id="rId12" /><Relationship Type="http://schemas.openxmlformats.org/officeDocument/2006/relationships/hyperlink" Target="https://www.instagram.com/p/De-K0_YGngQ/" TargetMode="External" Id="rId13" /><Relationship Type="http://schemas.openxmlformats.org/officeDocument/2006/relationships/hyperlink" Target="https://www.instagram.com/reel/DfDTI9eFHc0/" TargetMode="External" Id="rId14" /><Relationship Type="http://schemas.openxmlformats.org/officeDocument/2006/relationships/hyperlink" Target="https://www.instagram.com/p/DfIZoHQAVxH/" TargetMode="External" Id="rId1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>
      <c r="A13" s="55" t="n">
        <v>46316</v>
      </c>
      <c r="B13" s="41" t="n">
        <v>3225</v>
      </c>
    </row>
    <row r="14">
      <c r="A14" s="55" t="n">
        <v>46318</v>
      </c>
      <c r="B14" s="41" t="n">
        <v>3227</v>
      </c>
    </row>
    <row r="15">
      <c r="A15" s="55" t="n">
        <v>46320</v>
      </c>
      <c r="B15" s="41" t="n">
        <v>3226</v>
      </c>
    </row>
    <row r="16">
      <c r="A16" s="55" t="n">
        <v>46321</v>
      </c>
      <c r="B16" s="41" t="n">
        <v>3224</v>
      </c>
    </row>
    <row r="17">
      <c r="A17" s="55" t="n">
        <v>46323</v>
      </c>
      <c r="B17" s="41" t="n">
        <v>3222</v>
      </c>
    </row>
    <row r="18">
      <c r="A18" s="55" t="n">
        <v>46325</v>
      </c>
      <c r="B18" s="41" t="n">
        <v>3222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49</v>
      </c>
      <c r="H2" s="48" t="n">
        <v>111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46325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55</v>
      </c>
      <c r="H3" s="52" t="n">
        <v>143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46325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64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46325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40</v>
      </c>
      <c r="H5" s="52" t="n">
        <v>89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46325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45</v>
      </c>
      <c r="H6" s="52" t="n">
        <v>111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46325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33</v>
      </c>
      <c r="H7" s="52" t="n">
        <v>43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46325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38</v>
      </c>
      <c r="H8" s="52" t="n">
        <v>66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46325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25</v>
      </c>
      <c r="H9" s="52" t="n">
        <v>38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46325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31</v>
      </c>
      <c r="H10" s="52" t="n">
        <v>66</v>
      </c>
      <c r="I10" s="52" t="n">
        <v>3</v>
      </c>
      <c r="J10" s="52" t="n">
        <v>0</v>
      </c>
      <c r="K10" s="52" t="n">
        <v>0</v>
      </c>
      <c r="L10" s="52" t="n">
        <v>1</v>
      </c>
      <c r="M10" s="54">
        <f>IF(N(G10)&gt;0,(I10+J10+K10+L10)/G10,"")</f>
        <v/>
      </c>
      <c r="N10" s="57" t="n">
        <v>46325</v>
      </c>
    </row>
    <row r="11">
      <c r="A11" s="57" t="n">
        <v>46316</v>
      </c>
      <c r="B11" s="52" t="inlineStr">
        <is>
          <t>p12</t>
        </is>
      </c>
      <c r="C11" s="52" t="inlineStr">
        <is>
          <t>Тёплый костюм с капюшоном: 7 цветов</t>
        </is>
      </c>
      <c r="D11" s="52" t="n">
        <v>88668054</v>
      </c>
      <c r="E11" s="52" t="n">
        <v>857790934</v>
      </c>
      <c r="F11" s="53" t="inlineStr">
        <is>
          <t>https://www.instagram.com/reel/DexK31oAuYN/</t>
        </is>
      </c>
      <c r="G11" s="52" t="n">
        <v>74</v>
      </c>
      <c r="H11" s="52" t="n">
        <v>85</v>
      </c>
      <c r="I11" s="52" t="n">
        <v>1</v>
      </c>
      <c r="J11" s="52" t="n">
        <v>0</v>
      </c>
      <c r="K11" s="52" t="n">
        <v>0</v>
      </c>
      <c r="L11" s="52" t="n">
        <v>0</v>
      </c>
      <c r="M11" s="54">
        <f>IF(N(G11)&gt;0,(I11+J11+K11+L11)/G11,"")</f>
        <v/>
      </c>
      <c r="N11" s="57" t="n">
        <v>46325</v>
      </c>
    </row>
    <row r="12">
      <c r="A12" s="57" t="n">
        <v>46318</v>
      </c>
      <c r="B12" s="52" t="inlineStr">
        <is>
          <t>p13</t>
        </is>
      </c>
      <c r="C12" s="52" t="inlineStr">
        <is>
          <t>Шпаргалка: как выбрать размер</t>
        </is>
      </c>
      <c r="D12" s="52" t="n">
        <v>52456955</v>
      </c>
      <c r="E12" s="52" t="n">
        <v>855854486</v>
      </c>
      <c r="F12" s="53" t="inlineStr">
        <is>
          <t>https://www.instagram.com/p/De2UHsaoH-M/</t>
        </is>
      </c>
      <c r="G12" s="52" t="n">
        <v>35</v>
      </c>
      <c r="H12" s="52" t="n">
        <v>78</v>
      </c>
      <c r="I12" s="52" t="n">
        <v>0</v>
      </c>
      <c r="J12" s="52" t="n">
        <v>0</v>
      </c>
      <c r="K12" s="52" t="n">
        <v>0</v>
      </c>
      <c r="L12" s="52" t="n">
        <v>0</v>
      </c>
      <c r="M12" s="54">
        <f>IF(N(G12)&gt;0,(I12+J12+K12+L12)/G12,"")</f>
        <v/>
      </c>
      <c r="N12" s="57" t="n">
        <v>46325</v>
      </c>
    </row>
    <row r="13">
      <c r="A13" s="57" t="n">
        <v>46320</v>
      </c>
      <c r="B13" s="52" t="inlineStr">
        <is>
          <t>p14</t>
        </is>
      </c>
      <c r="C13" s="52" t="inlineStr">
        <is>
          <t>Толстовка с начёсом для девочки</t>
        </is>
      </c>
      <c r="D13" s="52" t="n">
        <v>34564033</v>
      </c>
      <c r="E13" s="52" t="n">
        <v>955444538</v>
      </c>
      <c r="F13" s="53" t="inlineStr">
        <is>
          <t>https://www.instagram.com/p/De7W_jNGNKQ/</t>
        </is>
      </c>
      <c r="G13" s="52" t="n">
        <v>21</v>
      </c>
      <c r="H13" s="52" t="n">
        <v>42</v>
      </c>
      <c r="I13" s="52" t="n">
        <v>0</v>
      </c>
      <c r="J13" s="52" t="n">
        <v>0</v>
      </c>
      <c r="K13" s="52" t="n">
        <v>0</v>
      </c>
      <c r="L13" s="52" t="n">
        <v>0</v>
      </c>
      <c r="M13" s="54">
        <f>IF(N(G13)&gt;0,(I13+J13+K13+L13)/G13,"")</f>
        <v/>
      </c>
      <c r="N13" s="57" t="n">
        <v>46325</v>
      </c>
    </row>
    <row r="14">
      <c r="A14" s="57" t="n">
        <v>46321</v>
      </c>
      <c r="B14" s="52" t="inlineStr">
        <is>
          <t>p15</t>
        </is>
      </c>
      <c r="C14" s="52" t="inlineStr">
        <is>
          <t>Тёплые брюки с начёсом для школы</t>
        </is>
      </c>
      <c r="D14" s="52" t="n">
        <v>116569962</v>
      </c>
      <c r="E14" s="52" t="n">
        <v>851169336</v>
      </c>
      <c r="F14" s="53" t="inlineStr">
        <is>
          <t>https://www.instagram.com/p/De-K0_YGngQ/</t>
        </is>
      </c>
      <c r="G14" s="52" t="n">
        <v>23</v>
      </c>
      <c r="H14" s="52" t="n">
        <v>55</v>
      </c>
      <c r="I14" s="52" t="n">
        <v>1</v>
      </c>
      <c r="J14" s="52" t="n">
        <v>0</v>
      </c>
      <c r="K14" s="52" t="n">
        <v>0</v>
      </c>
      <c r="L14" s="52" t="n">
        <v>0</v>
      </c>
      <c r="M14" s="54">
        <f>IF(N(G14)&gt;0,(I14+J14+K14+L14)/G14,"")</f>
        <v/>
      </c>
      <c r="N14" s="57" t="n">
        <v>46325</v>
      </c>
    </row>
    <row r="15">
      <c r="A15" s="57" t="n">
        <v>46323</v>
      </c>
      <c r="B15" s="52" t="inlineStr">
        <is>
          <t>p16</t>
        </is>
      </c>
      <c r="C15" s="52" t="inlineStr">
        <is>
          <t>Флисовый костюм для мальчика</t>
        </is>
      </c>
      <c r="D15" s="52" t="n">
        <v>485253326</v>
      </c>
      <c r="E15" s="52" t="n">
        <v>2717792690</v>
      </c>
      <c r="F15" s="53" t="inlineStr">
        <is>
          <t>https://www.instagram.com/reel/DfDTI9eFHc0/</t>
        </is>
      </c>
      <c r="G15" s="52" t="n">
        <v>42</v>
      </c>
      <c r="H15" s="52" t="n">
        <v>61</v>
      </c>
      <c r="I15" s="52" t="n">
        <v>1</v>
      </c>
      <c r="J15" s="52" t="n">
        <v>0</v>
      </c>
      <c r="K15" s="52" t="n">
        <v>0</v>
      </c>
      <c r="L15" s="52" t="n">
        <v>1</v>
      </c>
      <c r="M15" s="54">
        <f>IF(N(G15)&gt;0,(I15+J15+K15+L15)/G15,"")</f>
        <v/>
      </c>
      <c r="N15" s="57" t="n">
        <v>46325</v>
      </c>
    </row>
    <row r="16">
      <c r="A16" s="57" t="n">
        <v>46325</v>
      </c>
      <c r="B16" s="52" t="inlineStr">
        <is>
          <t>p17</t>
        </is>
      </c>
      <c r="C16" s="52" t="inlineStr">
        <is>
          <t>Шпаргалка: уход за вещами с начёсом</t>
        </is>
      </c>
      <c r="D16" s="52" t="n">
        <v>147321676</v>
      </c>
      <c r="E16" s="52" t="n">
        <v>1097457144</v>
      </c>
      <c r="F16" s="53" t="inlineStr">
        <is>
          <t>https://www.instagram.com/p/DfIZoHQAVxH/</t>
        </is>
      </c>
      <c r="G16" s="52" t="n">
        <v>0</v>
      </c>
      <c r="H16" s="52" t="n">
        <v>0</v>
      </c>
      <c r="I16" s="52" t="n">
        <v>0</v>
      </c>
      <c r="J16" s="52" t="n">
        <v>0</v>
      </c>
      <c r="K16" s="52" t="n">
        <v>0</v>
      </c>
      <c r="L16" s="52" t="n">
        <v>0</v>
      </c>
      <c r="M16" s="54">
        <f>IF(N(G16)&gt;0,(I16+J16+K16+L16)/G16,"")</f>
        <v/>
      </c>
      <c r="N16" s="57" t="n">
        <v>46325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2026-10-30T20:06:13Z</dcterms:modified>
  <cp:revision>1</cp:revision>
</cp:coreProperties>
</file>