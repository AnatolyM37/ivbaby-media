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'Динамика'!$A$2:$A$13</f>
            </numRef>
          </cat>
          <val>
            <numRef>
              <f>'Динамика'!$B$2:$B$13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посты'!$B$2:$B$11</f>
            </numRef>
          </cat>
          <val>
            <numRef>
              <f>'Наши посты'!$G$2:$G$11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Relationship Type="http://schemas.openxmlformats.org/officeDocument/2006/relationships/hyperlink" Target="https://www.instagram.com/reel/DefPKxMAK8f/" TargetMode="External" Id="rId6" /><Relationship Type="http://schemas.openxmlformats.org/officeDocument/2006/relationships/hyperlink" Target="https://www.instagram.com/p/DekO47WlkVn/" TargetMode="External" Id="rId7" /><Relationship Type="http://schemas.openxmlformats.org/officeDocument/2006/relationships/hyperlink" Target="https://www.instagram.com/p/DepTivqnCbC/" TargetMode="External" Id="rId8" /><Relationship Type="http://schemas.openxmlformats.org/officeDocument/2006/relationships/hyperlink" Target="https://www.instagram.com/p/DesJDEuiRm8/" TargetMode="External" Id="rId9" /><Relationship Type="http://schemas.openxmlformats.org/officeDocument/2006/relationships/hyperlink" Target="https://www.instagram.com/reel/DexK31oAuYN/" TargetMode="External" Id="rId10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>
      <c r="A10" s="55" t="n">
        <v>46311</v>
      </c>
      <c r="B10" s="41" t="n">
        <v>3227</v>
      </c>
    </row>
    <row r="11">
      <c r="A11" s="55" t="n">
        <v>46313</v>
      </c>
      <c r="B11" s="41" t="n">
        <v>3226</v>
      </c>
    </row>
    <row r="12">
      <c r="A12" s="55" t="n">
        <v>46314</v>
      </c>
      <c r="B12" s="41" t="n">
        <v>3226</v>
      </c>
    </row>
    <row r="13">
      <c r="A13" s="55" t="n">
        <v>46316</v>
      </c>
      <c r="B13" s="41" t="n">
        <v>3225</v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48</v>
      </c>
      <c r="H2" s="48" t="n">
        <v>108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46316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54</v>
      </c>
      <c r="H3" s="52" t="n">
        <v>141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46316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63</v>
      </c>
      <c r="H4" s="52" t="n">
        <v>63</v>
      </c>
      <c r="I4" s="52" t="n">
        <v>4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46316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37</v>
      </c>
      <c r="H5" s="52" t="n">
        <v>85</v>
      </c>
      <c r="I5" s="52" t="n">
        <v>2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46316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41</v>
      </c>
      <c r="H6" s="52" t="n">
        <v>104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46316</v>
      </c>
    </row>
    <row r="7">
      <c r="A7" s="57" t="n">
        <v>46309</v>
      </c>
      <c r="B7" s="52" t="inlineStr">
        <is>
          <t>p08</t>
        </is>
      </c>
      <c r="C7" s="52" t="inlineStr">
        <is>
          <t>Двухцветный костюм для девочки</t>
        </is>
      </c>
      <c r="D7" s="52" t="n">
        <v>552519921</v>
      </c>
      <c r="E7" s="52" t="n">
        <v>3168656738</v>
      </c>
      <c r="F7" s="53" t="inlineStr">
        <is>
          <t>https://www.instagram.com/reel/DefPKxMAK8f/</t>
        </is>
      </c>
      <c r="G7" s="52" t="n">
        <v>30</v>
      </c>
      <c r="H7" s="52" t="n">
        <v>42</v>
      </c>
      <c r="I7" s="52" t="n">
        <v>0</v>
      </c>
      <c r="J7" s="52" t="n">
        <v>0</v>
      </c>
      <c r="K7" s="52" t="n">
        <v>0</v>
      </c>
      <c r="L7" s="52" t="n">
        <v>0</v>
      </c>
      <c r="M7" s="54">
        <f>IF(N(G7)&gt;0,(I7+J7+K7+L7)/G7,"")</f>
        <v/>
      </c>
      <c r="N7" s="57" t="n">
        <v>46316</v>
      </c>
    </row>
    <row r="8">
      <c r="A8" s="57" t="n">
        <v>46311</v>
      </c>
      <c r="B8" s="52" t="inlineStr">
        <is>
          <t>p09</t>
        </is>
      </c>
      <c r="C8" s="52" t="inlineStr">
        <is>
          <t>Спортивный костюм со шнуровкой</t>
        </is>
      </c>
      <c r="D8" s="52" t="n">
        <v>124002921</v>
      </c>
      <c r="E8" s="52" t="n">
        <v>855854788</v>
      </c>
      <c r="F8" s="53" t="inlineStr">
        <is>
          <t>https://www.instagram.com/p/DekO47WlkVn/</t>
        </is>
      </c>
      <c r="G8" s="52" t="n">
        <v>29</v>
      </c>
      <c r="H8" s="52" t="n">
        <v>52</v>
      </c>
      <c r="I8" s="52" t="n">
        <v>2</v>
      </c>
      <c r="J8" s="52" t="n">
        <v>0</v>
      </c>
      <c r="K8" s="52" t="n">
        <v>0</v>
      </c>
      <c r="L8" s="52" t="n">
        <v>0</v>
      </c>
      <c r="M8" s="54">
        <f>IF(N(G8)&gt;0,(I8+J8+K8+L8)/G8,"")</f>
        <v/>
      </c>
      <c r="N8" s="57" t="n">
        <v>46316</v>
      </c>
    </row>
    <row r="9">
      <c r="A9" s="57" t="n">
        <v>46313</v>
      </c>
      <c r="B9" s="52" t="inlineStr">
        <is>
          <t>p10</t>
        </is>
      </c>
      <c r="C9" s="52" t="inlineStr">
        <is>
          <t>Костюм с начёсом и принтом на спине</t>
        </is>
      </c>
      <c r="D9" s="52" t="n">
        <v>502796956</v>
      </c>
      <c r="E9" s="52" t="n">
        <v>2775992327</v>
      </c>
      <c r="F9" s="53" t="inlineStr">
        <is>
          <t>https://www.instagram.com/p/DepTivqnCbC/</t>
        </is>
      </c>
      <c r="G9" s="52" t="n">
        <v>19</v>
      </c>
      <c r="H9" s="52" t="n">
        <v>26</v>
      </c>
      <c r="I9" s="52" t="n">
        <v>1</v>
      </c>
      <c r="J9" s="52" t="n">
        <v>0</v>
      </c>
      <c r="K9" s="52" t="n">
        <v>0</v>
      </c>
      <c r="L9" s="52" t="n">
        <v>0</v>
      </c>
      <c r="M9" s="54">
        <f>IF(N(G9)&gt;0,(I9+J9+K9+L9)/G9,"")</f>
        <v/>
      </c>
      <c r="N9" s="57" t="n">
        <v>46316</v>
      </c>
    </row>
    <row r="10">
      <c r="A10" s="57" t="n">
        <v>46314</v>
      </c>
      <c r="B10" s="52" t="inlineStr">
        <is>
          <t>p11</t>
        </is>
      </c>
      <c r="C10" s="52" t="inlineStr">
        <is>
          <t>Тёплый костюм для мальчика с принтом</t>
        </is>
      </c>
      <c r="D10" s="52" t="n">
        <v>493757862</v>
      </c>
      <c r="E10" s="52" t="n">
        <v>2717792134</v>
      </c>
      <c r="F10" s="53" t="inlineStr">
        <is>
          <t>https://www.instagram.com/p/DesJDEuiRm8/</t>
        </is>
      </c>
      <c r="G10" s="52" t="n">
        <v>22</v>
      </c>
      <c r="H10" s="52" t="n">
        <v>43</v>
      </c>
      <c r="I10" s="52" t="n">
        <v>3</v>
      </c>
      <c r="J10" s="52" t="n">
        <v>0</v>
      </c>
      <c r="K10" s="52" t="n">
        <v>0</v>
      </c>
      <c r="L10" s="52" t="n">
        <v>1</v>
      </c>
      <c r="M10" s="54">
        <f>IF(N(G10)&gt;0,(I10+J10+K10+L10)/G10,"")</f>
        <v/>
      </c>
      <c r="N10" s="57" t="n">
        <v>46316</v>
      </c>
    </row>
    <row r="11">
      <c r="A11" s="57" t="n">
        <v>46316</v>
      </c>
      <c r="B11" s="52" t="inlineStr">
        <is>
          <t>p12</t>
        </is>
      </c>
      <c r="C11" s="52" t="inlineStr">
        <is>
          <t>Тёплый костюм с капюшоном: 7 цветов</t>
        </is>
      </c>
      <c r="D11" s="52" t="n">
        <v>88668054</v>
      </c>
      <c r="E11" s="52" t="n">
        <v>857790934</v>
      </c>
      <c r="F11" s="53" t="inlineStr">
        <is>
          <t>https://www.instagram.com/reel/DexK31oAuYN/</t>
        </is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4">
        <f>IF(N(G11)&gt;0,(I11+J11+K11+L11)/G11,"")</f>
        <v/>
      </c>
      <c r="N11" s="57" t="n">
        <v>46316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2026-10-21T19:35:32Z</dcterms:modified>
  <cp:revision>1</cp:revision>
</cp:coreProperties>
</file>