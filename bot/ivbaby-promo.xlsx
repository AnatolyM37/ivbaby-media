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Сводка" sheetId="1" state="visible" r:id="rId1"/>
    <sheet name="Динамика" sheetId="2" state="visible" r:id="rId2"/>
    <sheet name="Конкуренты" sheetId="3" state="visible" r:id="rId3"/>
    <sheet name="Ключевые фразы" sheetId="4" state="visible" r:id="rId4"/>
    <sheet name="Наши посты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+#,##0;\-#,##0;0"/>
    <numFmt numFmtId="165" formatCode="0.0%;\-0.0%;0.0%"/>
    <numFmt numFmtId="166" formatCode="dd\.mm\.yyyy"/>
    <numFmt numFmtId="167" formatCode="0.0%"/>
    <numFmt numFmtId="168" formatCode="DD.MM.YYYY"/>
    <numFmt numFmtId="169" formatCode="yyyy-mm-dd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  <font>
      <name val="Arial"/>
      <charset val="1"/>
      <family val="0"/>
      <sz val="11"/>
    </font>
    <font>
      <name val="Arial"/>
      <color rgb="000000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166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7" fontId="1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8" fontId="0" fillId="0" borderId="0" pivotButton="0" quotePrefix="0" xfId="0"/>
    <xf numFmtId="3" fontId="17" fillId="0" borderId="0" pivotButton="0" quotePrefix="0" xfId="0"/>
    <xf numFmtId="0" fontId="5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168" fontId="18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167" fontId="18" fillId="0" borderId="2" applyAlignment="1" pivotButton="0" quotePrefix="0" xfId="0">
      <alignment horizontal="general" vertical="bottom"/>
    </xf>
    <xf numFmtId="168" fontId="18" fillId="0" borderId="2" pivotButton="0" quotePrefix="0" xfId="0"/>
    <xf numFmtId="0" fontId="18" fillId="0" borderId="2" pivotButton="0" quotePrefix="0" xfId="0"/>
    <xf numFmtId="0" fontId="19" fillId="0" borderId="2" pivotButton="0" quotePrefix="0" xfId="0"/>
    <xf numFmtId="167" fontId="18" fillId="0" borderId="2" pivotButton="0" quotePrefix="0" xfId="0"/>
    <xf numFmtId="168" fontId="0" fillId="0" borderId="0" pivotButton="0" quotePrefix="0" xfId="0"/>
    <xf numFmtId="168" fontId="18" fillId="0" borderId="2" applyAlignment="1" pivotButton="0" quotePrefix="0" xfId="0">
      <alignment horizontal="general" vertical="bottom"/>
    </xf>
    <xf numFmtId="168" fontId="18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Подписчики @ivbaby_official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'Динамика'!B1</f>
            </strRef>
          </tx>
          <spPr>
            <a:ln w="28575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'Динамика'!$A$2:$A$17</f>
            </numRef>
          </cat>
          <val>
            <numRef>
              <f>'Динамика'!$B$2:$B$17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.MM.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Подписчики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Подписчики: Ivbaby и конкуренты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>
              <a:prstDash val="solid"/>
            </a:ln>
          </spPr>
          <cat>
            <numRef>
              <f>'Сводка'!$A$5:$A$15</f>
            </numRef>
          </cat>
          <val>
            <numRef>
              <f>'Сводка'!$B$5:$B$15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Охват наших постов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'Наши посты'!G1</f>
            </strRef>
          </tx>
          <spPr>
            <a:ln>
              <a:prstDash val="solid"/>
            </a:ln>
          </spPr>
          <cat>
            <numRef>
              <f>'Наши посты'!$B$2:$B$15</f>
            </numRef>
          </cat>
          <val>
            <numRef>
              <f>'Наши посты'!$G$2:$G$15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Аккаунтов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B2" authorId="0" shapeId="0">
      <text>
        <t>Instagram API, 02.10.2026</t>
      </text>
    </comment>
    <comment ref="C2" authorId="0" shapeId="0">
      <text>
        <t>Конкуренты: страницы профилей в Instagram, 02.10.2026 (у крупных аккаунтов Instagram округляет до тыс.)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mjolk.ru/" TargetMode="External" Id="rId1" /><Relationship Type="http://schemas.openxmlformats.org/officeDocument/2006/relationships/hyperlink" Target="https://www.instagram.com/acoolakids/" TargetMode="External" Id="rId2" /><Relationship Type="http://schemas.openxmlformats.org/officeDocument/2006/relationships/hyperlink" Target="https://www.instagram.com/gulliver_wear/" TargetMode="External" Id="rId3" /><Relationship Type="http://schemas.openxmlformats.org/officeDocument/2006/relationships/hyperlink" Target="https://www.instagram.com/ostinkids/" TargetMode="External" Id="rId4" /><Relationship Type="http://schemas.openxmlformats.org/officeDocument/2006/relationships/hyperlink" Target="https://www.instagram.com/rudiks.ru/" TargetMode="External" Id="rId5" /><Relationship Type="http://schemas.openxmlformats.org/officeDocument/2006/relationships/hyperlink" Target="https://www.instagram.com/playtoday_official/" TargetMode="External" Id="rId6" /><Relationship Type="http://schemas.openxmlformats.org/officeDocument/2006/relationships/hyperlink" Target="https://www.instagram.com/ohrakids/" TargetMode="External" Id="rId7" /><Relationship Type="http://schemas.openxmlformats.org/officeDocument/2006/relationships/hyperlink" Target="https://www.instagram.com/tdbatik/" TargetMode="External" Id="rId8" /><Relationship Type="http://schemas.openxmlformats.org/officeDocument/2006/relationships/hyperlink" Target="https://www.instagram.com/ramelka_baby/" TargetMode="External" Id="rId9" /><Relationship Type="http://schemas.openxmlformats.org/officeDocument/2006/relationships/hyperlink" Target="https://www.instagram.com/ozitikids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eACb-NoFH1/" TargetMode="External" Id="rId1" /><Relationship Type="http://schemas.openxmlformats.org/officeDocument/2006/relationships/hyperlink" Target="https://www.instagram.com/p/DeFT4JdD7Yd/" TargetMode="External" Id="rId2" /><Relationship Type="http://schemas.openxmlformats.org/officeDocument/2006/relationships/hyperlink" Target="https://www.instagram.com/reel/DeNP7SDDVXc/" TargetMode="External" Id="rId3" /><Relationship Type="http://schemas.openxmlformats.org/officeDocument/2006/relationships/hyperlink" Target="https://www.instagram.com/p/DeSWbZgmSyf/" TargetMode="External" Id="rId4" /><Relationship Type="http://schemas.openxmlformats.org/officeDocument/2006/relationships/hyperlink" Target="https://www.instagram.com/p/DeXbwysGDVs/" TargetMode="External" Id="rId5" /><Relationship Type="http://schemas.openxmlformats.org/officeDocument/2006/relationships/hyperlink" Target="https://www.instagram.com/reel/DefPKxMAK8f/" TargetMode="External" Id="rId6" /><Relationship Type="http://schemas.openxmlformats.org/officeDocument/2006/relationships/hyperlink" Target="https://www.instagram.com/p/DekO47WlkVn/" TargetMode="External" Id="rId7" /><Relationship Type="http://schemas.openxmlformats.org/officeDocument/2006/relationships/hyperlink" Target="https://www.instagram.com/p/DepTivqnCbC/" TargetMode="External" Id="rId8" /><Relationship Type="http://schemas.openxmlformats.org/officeDocument/2006/relationships/hyperlink" Target="https://www.instagram.com/p/DesJDEuiRm8/" TargetMode="External" Id="rId9" /><Relationship Type="http://schemas.openxmlformats.org/officeDocument/2006/relationships/hyperlink" Target="https://www.instagram.com/reel/DexK31oAuYN/" TargetMode="External" Id="rId10" /><Relationship Type="http://schemas.openxmlformats.org/officeDocument/2006/relationships/hyperlink" Target="https://www.instagram.com/p/De2UHsaoH-M/" TargetMode="External" Id="rId11" /><Relationship Type="http://schemas.openxmlformats.org/officeDocument/2006/relationships/hyperlink" Target="https://www.instagram.com/p/De7W_jNGNKQ/" TargetMode="External" Id="rId12" /><Relationship Type="http://schemas.openxmlformats.org/officeDocument/2006/relationships/hyperlink" Target="https://www.instagram.com/p/De-K0_YGngQ/" TargetMode="External" Id="rId13" /><Relationship Type="http://schemas.openxmlformats.org/officeDocument/2006/relationships/hyperlink" Target="https://www.instagram.com/reel/DfDTI9eFHc0/" TargetMode="External" Id="rId14" 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G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4" min="1" max="1"/>
    <col width="17" customWidth="1" style="24" min="2" max="3"/>
    <col width="12" customWidth="1" style="24" min="4" max="5"/>
    <col width="16" customWidth="1" style="24" min="6" max="6"/>
    <col width="15" customWidth="1" style="24" min="7" max="7"/>
  </cols>
  <sheetData>
    <row r="1" ht="17.35" customHeight="1" s="25">
      <c r="A1" s="26" t="inlineStr">
        <is>
          <t>Продвижение @ivbaby_official — сводка</t>
        </is>
      </c>
      <c r="B1" s="27" t="n"/>
      <c r="C1" s="27" t="n"/>
      <c r="D1" s="27" t="n"/>
      <c r="E1" s="27" t="n"/>
      <c r="F1" s="27" t="n"/>
      <c r="G1" s="27" t="n"/>
    </row>
    <row r="2" ht="45" customHeight="1" s="25">
      <c r="A2" s="28" t="inlineStr">
        <is>
          <t>Данные берутся из листа «Динамика»: последний и предыдущий замер каждого аккаунта. Новые строки добавляет автозадание; вручную можно дописать строку с датой и подписчиками (синие цифры на листе «Динамика»).</t>
        </is>
      </c>
    </row>
    <row r="3" ht="15" customHeight="1" s="25">
      <c r="A3" s="27" t="n"/>
      <c r="B3" s="27" t="n"/>
      <c r="C3" s="27" t="n"/>
      <c r="D3" s="27" t="n"/>
      <c r="E3" s="27" t="n"/>
      <c r="F3" s="27" t="n"/>
      <c r="G3" s="27" t="n"/>
    </row>
    <row r="4" ht="26.85" customHeight="1" s="25">
      <c r="A4" s="29" t="inlineStr">
        <is>
          <t>Аккаунт</t>
        </is>
      </c>
      <c r="B4" s="29" t="inlineStr">
        <is>
          <t>Подписчики сейчас</t>
        </is>
      </c>
      <c r="C4" s="29" t="inlineStr">
        <is>
          <t>Предыдущий замер</t>
        </is>
      </c>
      <c r="D4" s="29" t="inlineStr">
        <is>
          <t>Прирост</t>
        </is>
      </c>
      <c r="E4" s="29" t="inlineStr">
        <is>
          <t>Прирост, %</t>
        </is>
      </c>
      <c r="F4" s="29" t="inlineStr">
        <is>
          <t>Публикаций (02.10)</t>
        </is>
      </c>
      <c r="G4" s="29" t="inlineStr">
        <is>
          <t>Дата замера</t>
        </is>
      </c>
    </row>
    <row r="5" ht="15" customHeight="1" s="25">
      <c r="A5" s="30" t="inlineStr">
        <is>
          <t>@ivbaby_official</t>
        </is>
      </c>
      <c r="B5" s="31">
        <f>IFERROR(INDEX(Динамика!$B$2:$B$400,SUMPRODUCT(LARGE((Динамика!$B$2:$B$400&lt;&gt;"")*(ROW(Динамика!$B$2:$B$400)-1),1))),"")</f>
        <v/>
      </c>
      <c r="C5" s="31">
        <f>IFERROR(IF(SUMPRODUCT(LARGE((Динамика!$B$2:$B$400&lt;&gt;"")*(ROW(Динамика!$B$2:$B$400)-1),2))&gt;0,INDEX(Динамика!$B$2:$B$400,SUMPRODUCT(LARGE((Динамика!$B$2:$B$400&lt;&gt;"")*(ROW(Динамика!$B$2:$B$400)-1),2))),""),"")</f>
        <v/>
      </c>
      <c r="D5" s="32">
        <f>IF(AND(ISNUMBER(B5),ISNUMBER(C5)),B5-C5,"")</f>
        <v/>
      </c>
      <c r="E5" s="33">
        <f>IF(AND(ISNUMBER(D5),C5&gt;0),D5/C5,"")</f>
        <v/>
      </c>
      <c r="F5" s="31" t="n">
        <v>227</v>
      </c>
      <c r="G5" s="34">
        <f>IFERROR(INDEX(Динамика!$A$2:$A$400,SUMPRODUCT(LARGE((Динамика!$B$2:$B$400&lt;&gt;"")*(ROW(Динамика!$B$2:$B$400)-1),1))),"")</f>
        <v/>
      </c>
    </row>
    <row r="6" ht="15" customHeight="1" s="25">
      <c r="A6" s="35" t="inlineStr">
        <is>
          <t>@mjolk.ru</t>
        </is>
      </c>
      <c r="B6" s="31">
        <f>IFERROR(INDEX(Динамика!$C$2:$C$400,SUMPRODUCT(LARGE((Динамика!$C$2:$C$400&lt;&gt;"")*(ROW(Динамика!$C$2:$C$400)-1),1))),"")</f>
        <v/>
      </c>
      <c r="C6" s="31">
        <f>IFERROR(IF(SUMPRODUCT(LARGE((Динамика!$C$2:$C$400&lt;&gt;"")*(ROW(Динамика!$C$2:$C$400)-1),2))&gt;0,INDEX(Динамика!$C$2:$C$400,SUMPRODUCT(LARGE((Динамика!$C$2:$C$400&lt;&gt;"")*(ROW(Динамика!$C$2:$C$400)-1),2))),""),"")</f>
        <v/>
      </c>
      <c r="D6" s="32">
        <f>IF(AND(ISNUMBER(B6),ISNUMBER(C6)),B6-C6,"")</f>
        <v/>
      </c>
      <c r="E6" s="33">
        <f>IF(AND(ISNUMBER(D6),C6&gt;0),D6/C6,"")</f>
        <v/>
      </c>
      <c r="F6" s="31" t="n">
        <v>5407</v>
      </c>
      <c r="G6" s="34">
        <f>IFERROR(INDEX(Динамика!$A$2:$A$400,SUMPRODUCT(LARGE((Динамика!$C$2:$C$400&lt;&gt;"")*(ROW(Динамика!$C$2:$C$400)-1),1))),"")</f>
        <v/>
      </c>
    </row>
    <row r="7" ht="15" customHeight="1" s="25">
      <c r="A7" s="35" t="inlineStr">
        <is>
          <t>@acoolakids</t>
        </is>
      </c>
      <c r="B7" s="31">
        <f>IFERROR(INDEX(Динамика!$D$2:$D$400,SUMPRODUCT(LARGE((Динамика!$D$2:$D$400&lt;&gt;"")*(ROW(Динамика!$D$2:$D$400)-1),1))),"")</f>
        <v/>
      </c>
      <c r="C7" s="31">
        <f>IFERROR(IF(SUMPRODUCT(LARGE((Динамика!$D$2:$D$400&lt;&gt;"")*(ROW(Динамика!$D$2:$D$400)-1),2))&gt;0,INDEX(Динамика!$D$2:$D$400,SUMPRODUCT(LARGE((Динамика!$D$2:$D$400&lt;&gt;"")*(ROW(Динамика!$D$2:$D$400)-1),2))),""),"")</f>
        <v/>
      </c>
      <c r="D7" s="32">
        <f>IF(AND(ISNUMBER(B7),ISNUMBER(C7)),B7-C7,"")</f>
        <v/>
      </c>
      <c r="E7" s="33">
        <f>IF(AND(ISNUMBER(D7),C7&gt;0),D7/C7,"")</f>
        <v/>
      </c>
      <c r="F7" s="31" t="n">
        <v>322</v>
      </c>
      <c r="G7" s="34">
        <f>IFERROR(INDEX(Динамика!$A$2:$A$400,SUMPRODUCT(LARGE((Динамика!$D$2:$D$400&lt;&gt;"")*(ROW(Динамика!$D$2:$D$400)-1),1))),"")</f>
        <v/>
      </c>
    </row>
    <row r="8" ht="15" customHeight="1" s="25">
      <c r="A8" s="35" t="inlineStr">
        <is>
          <t>@gulliver_wear</t>
        </is>
      </c>
      <c r="B8" s="31">
        <f>IFERROR(INDEX(Динамика!$E$2:$E$400,SUMPRODUCT(LARGE((Динамика!$E$2:$E$400&lt;&gt;"")*(ROW(Динамика!$E$2:$E$400)-1),1))),"")</f>
        <v/>
      </c>
      <c r="C8" s="31">
        <f>IFERROR(IF(SUMPRODUCT(LARGE((Динамика!$E$2:$E$400&lt;&gt;"")*(ROW(Динамика!$E$2:$E$400)-1),2))&gt;0,INDEX(Динамика!$E$2:$E$400,SUMPRODUCT(LARGE((Динамика!$E$2:$E$400&lt;&gt;"")*(ROW(Динамика!$E$2:$E$400)-1),2))),""),"")</f>
        <v/>
      </c>
      <c r="D8" s="32">
        <f>IF(AND(ISNUMBER(B8),ISNUMBER(C8)),B8-C8,"")</f>
        <v/>
      </c>
      <c r="E8" s="33">
        <f>IF(AND(ISNUMBER(D8),C8&gt;0),D8/C8,"")</f>
        <v/>
      </c>
      <c r="F8" s="31" t="n">
        <v>5296</v>
      </c>
      <c r="G8" s="34">
        <f>IFERROR(INDEX(Динамика!$A$2:$A$400,SUMPRODUCT(LARGE((Динамика!$E$2:$E$400&lt;&gt;"")*(ROW(Динамика!$E$2:$E$400)-1),1))),"")</f>
        <v/>
      </c>
    </row>
    <row r="9" ht="15" customHeight="1" s="25">
      <c r="A9" s="35" t="inlineStr">
        <is>
          <t>@ostinkids</t>
        </is>
      </c>
      <c r="B9" s="31">
        <f>IFERROR(INDEX(Динамика!$F$2:$F$400,SUMPRODUCT(LARGE((Динамика!$F$2:$F$400&lt;&gt;"")*(ROW(Динамика!$F$2:$F$400)-1),1))),"")</f>
        <v/>
      </c>
      <c r="C9" s="31">
        <f>IFERROR(IF(SUMPRODUCT(LARGE((Динамика!$F$2:$F$400&lt;&gt;"")*(ROW(Динамика!$F$2:$F$400)-1),2))&gt;0,INDEX(Динамика!$F$2:$F$400,SUMPRODUCT(LARGE((Динамика!$F$2:$F$400&lt;&gt;"")*(ROW(Динамика!$F$2:$F$400)-1),2))),""),"")</f>
        <v/>
      </c>
      <c r="D9" s="32">
        <f>IF(AND(ISNUMBER(B9),ISNUMBER(C9)),B9-C9,"")</f>
        <v/>
      </c>
      <c r="E9" s="33">
        <f>IF(AND(ISNUMBER(D9),C9&gt;0),D9/C9,"")</f>
        <v/>
      </c>
      <c r="F9" s="31" t="n">
        <v>1862</v>
      </c>
      <c r="G9" s="34">
        <f>IFERROR(INDEX(Динамика!$A$2:$A$400,SUMPRODUCT(LARGE((Динамика!$F$2:$F$400&lt;&gt;"")*(ROW(Динамика!$F$2:$F$400)-1),1))),"")</f>
        <v/>
      </c>
    </row>
    <row r="10" ht="15" customHeight="1" s="25">
      <c r="A10" s="35" t="inlineStr">
        <is>
          <t>@rudiks.ru</t>
        </is>
      </c>
      <c r="B10" s="31">
        <f>IFERROR(INDEX(Динамика!$G$2:$G$400,SUMPRODUCT(LARGE((Динамика!$G$2:$G$400&lt;&gt;"")*(ROW(Динамика!$G$2:$G$400)-1),1))),"")</f>
        <v/>
      </c>
      <c r="C10" s="31">
        <f>IFERROR(IF(SUMPRODUCT(LARGE((Динамика!$G$2:$G$400&lt;&gt;"")*(ROW(Динамика!$G$2:$G$400)-1),2))&gt;0,INDEX(Динамика!$G$2:$G$400,SUMPRODUCT(LARGE((Динамика!$G$2:$G$400&lt;&gt;"")*(ROW(Динамика!$G$2:$G$400)-1),2))),""),"")</f>
        <v/>
      </c>
      <c r="D10" s="32">
        <f>IF(AND(ISNUMBER(B10),ISNUMBER(C10)),B10-C10,"")</f>
        <v/>
      </c>
      <c r="E10" s="33">
        <f>IF(AND(ISNUMBER(D10),C10&gt;0),D10/C10,"")</f>
        <v/>
      </c>
      <c r="F10" s="31" t="n">
        <v>1656</v>
      </c>
      <c r="G10" s="34">
        <f>IFERROR(INDEX(Динамика!$A$2:$A$400,SUMPRODUCT(LARGE((Динамика!$G$2:$G$400&lt;&gt;"")*(ROW(Динамика!$G$2:$G$400)-1),1))),"")</f>
        <v/>
      </c>
    </row>
    <row r="11" ht="15" customHeight="1" s="25">
      <c r="A11" s="35" t="inlineStr">
        <is>
          <t>@playtoday_official</t>
        </is>
      </c>
      <c r="B11" s="31">
        <f>IFERROR(INDEX(Динамика!$H$2:$H$400,SUMPRODUCT(LARGE((Динамика!$H$2:$H$400&lt;&gt;"")*(ROW(Динамика!$H$2:$H$400)-1),1))),"")</f>
        <v/>
      </c>
      <c r="C11" s="31">
        <f>IFERROR(IF(SUMPRODUCT(LARGE((Динамика!$H$2:$H$400&lt;&gt;"")*(ROW(Динамика!$H$2:$H$400)-1),2))&gt;0,INDEX(Динамика!$H$2:$H$400,SUMPRODUCT(LARGE((Динамика!$H$2:$H$400&lt;&gt;"")*(ROW(Динамика!$H$2:$H$400)-1),2))),""),"")</f>
        <v/>
      </c>
      <c r="D11" s="32">
        <f>IF(AND(ISNUMBER(B11),ISNUMBER(C11)),B11-C11,"")</f>
        <v/>
      </c>
      <c r="E11" s="33">
        <f>IF(AND(ISNUMBER(D11),C11&gt;0),D11/C11,"")</f>
        <v/>
      </c>
      <c r="F11" s="31" t="n">
        <v>2383</v>
      </c>
      <c r="G11" s="34">
        <f>IFERROR(INDEX(Динамика!$A$2:$A$400,SUMPRODUCT(LARGE((Динамика!$H$2:$H$400&lt;&gt;"")*(ROW(Динамика!$H$2:$H$400)-1),1))),"")</f>
        <v/>
      </c>
    </row>
    <row r="12" ht="15" customHeight="1" s="25">
      <c r="A12" s="35" t="inlineStr">
        <is>
          <t>@ohrakids</t>
        </is>
      </c>
      <c r="B12" s="31">
        <f>IFERROR(INDEX(Динамика!$I$2:$I$400,SUMPRODUCT(LARGE((Динамика!$I$2:$I$400&lt;&gt;"")*(ROW(Динамика!$I$2:$I$400)-1),1))),"")</f>
        <v/>
      </c>
      <c r="C12" s="31">
        <f>IFERROR(IF(SUMPRODUCT(LARGE((Динамика!$I$2:$I$400&lt;&gt;"")*(ROW(Динамика!$I$2:$I$400)-1),2))&gt;0,INDEX(Динамика!$I$2:$I$400,SUMPRODUCT(LARGE((Динамика!$I$2:$I$400&lt;&gt;"")*(ROW(Динамика!$I$2:$I$400)-1),2))),""),"")</f>
        <v/>
      </c>
      <c r="D12" s="32">
        <f>IF(AND(ISNUMBER(B12),ISNUMBER(C12)),B12-C12,"")</f>
        <v/>
      </c>
      <c r="E12" s="33">
        <f>IF(AND(ISNUMBER(D12),C12&gt;0),D12/C12,"")</f>
        <v/>
      </c>
      <c r="F12" s="31" t="n">
        <v>330</v>
      </c>
      <c r="G12" s="34">
        <f>IFERROR(INDEX(Динамика!$A$2:$A$400,SUMPRODUCT(LARGE((Динамика!$I$2:$I$400&lt;&gt;"")*(ROW(Динамика!$I$2:$I$400)-1),1))),"")</f>
        <v/>
      </c>
    </row>
    <row r="13" ht="15" customHeight="1" s="25">
      <c r="A13" s="35" t="inlineStr">
        <is>
          <t>@tdbatik</t>
        </is>
      </c>
      <c r="B13" s="31">
        <f>IFERROR(INDEX(Динамика!$J$2:$J$400,SUMPRODUCT(LARGE((Динамика!$J$2:$J$400&lt;&gt;"")*(ROW(Динамика!$J$2:$J$400)-1),1))),"")</f>
        <v/>
      </c>
      <c r="C13" s="31">
        <f>IFERROR(IF(SUMPRODUCT(LARGE((Динамика!$J$2:$J$400&lt;&gt;"")*(ROW(Динамика!$J$2:$J$400)-1),2))&gt;0,INDEX(Динамика!$J$2:$J$400,SUMPRODUCT(LARGE((Динамика!$J$2:$J$400&lt;&gt;"")*(ROW(Динамика!$J$2:$J$400)-1),2))),""),"")</f>
        <v/>
      </c>
      <c r="D13" s="32">
        <f>IF(AND(ISNUMBER(B13),ISNUMBER(C13)),B13-C13,"")</f>
        <v/>
      </c>
      <c r="E13" s="33">
        <f>IF(AND(ISNUMBER(D13),C13&gt;0),D13/C13,"")</f>
        <v/>
      </c>
      <c r="F13" s="31" t="n">
        <v>1856</v>
      </c>
      <c r="G13" s="34">
        <f>IFERROR(INDEX(Динамика!$A$2:$A$400,SUMPRODUCT(LARGE((Динамика!$J$2:$J$400&lt;&gt;"")*(ROW(Динамика!$J$2:$J$400)-1),1))),"")</f>
        <v/>
      </c>
    </row>
    <row r="14" ht="15" customHeight="1" s="25">
      <c r="A14" s="35" t="inlineStr">
        <is>
          <t>@ramelka_baby</t>
        </is>
      </c>
      <c r="B14" s="31">
        <f>IFERROR(INDEX(Динамика!$K$2:$K$400,SUMPRODUCT(LARGE((Динамика!$K$2:$K$400&lt;&gt;"")*(ROW(Динамика!$K$2:$K$400)-1),1))),"")</f>
        <v/>
      </c>
      <c r="C14" s="31">
        <f>IFERROR(IF(SUMPRODUCT(LARGE((Динамика!$K$2:$K$400&lt;&gt;"")*(ROW(Динамика!$K$2:$K$400)-1),2))&gt;0,INDEX(Динамика!$K$2:$K$400,SUMPRODUCT(LARGE((Динамика!$K$2:$K$400&lt;&gt;"")*(ROW(Динамика!$K$2:$K$400)-1),2))),""),"")</f>
        <v/>
      </c>
      <c r="D14" s="32">
        <f>IF(AND(ISNUMBER(B14),ISNUMBER(C14)),B14-C14,"")</f>
        <v/>
      </c>
      <c r="E14" s="33">
        <f>IF(AND(ISNUMBER(D14),C14&gt;0),D14/C14,"")</f>
        <v/>
      </c>
      <c r="F14" s="31" t="n">
        <v>636</v>
      </c>
      <c r="G14" s="34">
        <f>IFERROR(INDEX(Динамика!$A$2:$A$400,SUMPRODUCT(LARGE((Динамика!$K$2:$K$400&lt;&gt;"")*(ROW(Динамика!$K$2:$K$400)-1),1))),"")</f>
        <v/>
      </c>
    </row>
    <row r="15" ht="15" customHeight="1" s="25">
      <c r="A15" s="35" t="inlineStr">
        <is>
          <t>@ozitikids</t>
        </is>
      </c>
      <c r="B15" s="31">
        <f>IFERROR(INDEX(Динамика!$L$2:$L$400,SUMPRODUCT(LARGE((Динамика!$L$2:$L$400&lt;&gt;"")*(ROW(Динамика!$L$2:$L$400)-1),1))),"")</f>
        <v/>
      </c>
      <c r="C15" s="31">
        <f>IFERROR(IF(SUMPRODUCT(LARGE((Динамика!$L$2:$L$400&lt;&gt;"")*(ROW(Динамика!$L$2:$L$400)-1),2))&gt;0,INDEX(Динамика!$L$2:$L$400,SUMPRODUCT(LARGE((Динамика!$L$2:$L$400&lt;&gt;"")*(ROW(Динамика!$L$2:$L$400)-1),2))),""),"")</f>
        <v/>
      </c>
      <c r="D15" s="32">
        <f>IF(AND(ISNUMBER(B15),ISNUMBER(C15)),B15-C15,"")</f>
        <v/>
      </c>
      <c r="E15" s="33">
        <f>IF(AND(ISNUMBER(D15),C15&gt;0),D15/C15,"")</f>
        <v/>
      </c>
      <c r="F15" s="31" t="n">
        <v>89</v>
      </c>
      <c r="G15" s="34">
        <f>IFERROR(INDEX(Динамика!$A$2:$A$400,SUMPRODUCT(LARGE((Динамика!$L$2:$L$400&lt;&gt;"")*(ROW(Динамика!$L$2:$L$400)-1),1))),"")</f>
        <v/>
      </c>
    </row>
    <row r="16" ht="15" customHeight="1" s="25">
      <c r="A16" s="27" t="n"/>
      <c r="B16" s="27" t="n"/>
      <c r="C16" s="27" t="n"/>
      <c r="D16" s="27" t="n"/>
      <c r="E16" s="27" t="n"/>
      <c r="F16" s="27" t="n"/>
      <c r="G16" s="27" t="n"/>
    </row>
    <row r="17" ht="15" customHeight="1" s="25">
      <c r="A17" s="36" t="inlineStr">
        <is>
          <t>Доля Ivbaby от лидера ниши, %</t>
        </is>
      </c>
      <c r="B17" s="37">
        <f>IFERROR(B5/MAX(B6:B15),"")</f>
        <v/>
      </c>
      <c r="C17" s="27" t="n"/>
      <c r="D17" s="27" t="n"/>
      <c r="E17" s="27" t="n"/>
      <c r="F17" s="27" t="n"/>
      <c r="G17" s="27" t="n"/>
    </row>
    <row r="18" ht="15" customHeight="1" s="25">
      <c r="A18" s="27" t="n"/>
      <c r="B18" s="27" t="n"/>
      <c r="C18" s="27" t="n"/>
      <c r="D18" s="27" t="n"/>
      <c r="E18" s="27" t="n"/>
      <c r="F18" s="27" t="n"/>
      <c r="G18" s="27" t="n"/>
    </row>
    <row r="19" ht="15" customHeight="1" s="25">
      <c r="A19" s="27" t="n"/>
      <c r="B19" s="27" t="n"/>
      <c r="C19" s="27" t="n"/>
      <c r="D19" s="27" t="n"/>
      <c r="E19" s="27" t="n"/>
      <c r="F19" s="27" t="n"/>
      <c r="G19" s="27" t="n"/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4" min="1" max="1"/>
    <col width="14" customWidth="1" style="24" min="2" max="12"/>
  </cols>
  <sheetData>
    <row r="1" ht="26.85" customHeight="1" s="25">
      <c r="A1" s="29" t="inlineStr">
        <is>
          <t>Дата</t>
        </is>
      </c>
      <c r="B1" s="29" t="inlineStr">
        <is>
          <t>@ivbaby_official</t>
        </is>
      </c>
      <c r="C1" s="29" t="inlineStr">
        <is>
          <t>@mjolk.ru</t>
        </is>
      </c>
      <c r="D1" s="29" t="inlineStr">
        <is>
          <t>@acoolakids</t>
        </is>
      </c>
      <c r="E1" s="29" t="inlineStr">
        <is>
          <t>@gulliver_wear</t>
        </is>
      </c>
      <c r="F1" s="29" t="inlineStr">
        <is>
          <t>@ostinkids</t>
        </is>
      </c>
      <c r="G1" s="29" t="inlineStr">
        <is>
          <t>@rudiks.ru</t>
        </is>
      </c>
      <c r="H1" s="29" t="inlineStr">
        <is>
          <t>@playtoday_official</t>
        </is>
      </c>
      <c r="I1" s="29" t="inlineStr">
        <is>
          <t>@ohrakids</t>
        </is>
      </c>
      <c r="J1" s="29" t="inlineStr">
        <is>
          <t>@tdbatik</t>
        </is>
      </c>
      <c r="K1" s="29" t="inlineStr">
        <is>
          <t>@ramelka_baby</t>
        </is>
      </c>
      <c r="L1" s="29" t="inlineStr">
        <is>
          <t>@ozitikids</t>
        </is>
      </c>
    </row>
    <row r="2" ht="15" customHeight="1" s="25">
      <c r="A2" s="38" t="n">
        <v>46297</v>
      </c>
      <c r="B2" s="39" t="n">
        <v>3227</v>
      </c>
      <c r="C2" s="39" t="n">
        <v>262000</v>
      </c>
      <c r="D2" s="39" t="n">
        <v>206000</v>
      </c>
      <c r="E2" s="39" t="n">
        <v>105000</v>
      </c>
      <c r="F2" s="39" t="n">
        <v>86500</v>
      </c>
      <c r="G2" s="39" t="n">
        <v>81000</v>
      </c>
      <c r="H2" s="39" t="n">
        <v>46700</v>
      </c>
      <c r="I2" s="39" t="n">
        <v>19900</v>
      </c>
      <c r="J2" s="39" t="n">
        <v>17400</v>
      </c>
      <c r="K2" s="39" t="n">
        <v>5041</v>
      </c>
      <c r="L2" s="39" t="n">
        <v>1100</v>
      </c>
    </row>
    <row r="3">
      <c r="A3" s="55" t="n">
        <v>46299</v>
      </c>
      <c r="B3" s="41" t="n">
        <v>3226</v>
      </c>
    </row>
    <row r="4">
      <c r="A4" s="55" t="n">
        <v>46301</v>
      </c>
      <c r="B4" s="41" t="n">
        <v>3226</v>
      </c>
    </row>
    <row r="5">
      <c r="A5" s="55" t="n">
        <v>46302</v>
      </c>
      <c r="B5" s="41" t="n">
        <v>3225</v>
      </c>
    </row>
    <row r="6">
      <c r="A6" s="55" t="n">
        <v>46304</v>
      </c>
      <c r="B6" s="41" t="n">
        <v>3227</v>
      </c>
    </row>
    <row r="7">
      <c r="A7" s="55" t="n">
        <v>46306</v>
      </c>
      <c r="B7" s="41" t="n">
        <v>3228</v>
      </c>
    </row>
    <row r="8">
      <c r="A8" s="55" t="n">
        <v>46308</v>
      </c>
      <c r="B8" s="41" t="n">
        <v>3228</v>
      </c>
    </row>
    <row r="9">
      <c r="A9" s="55" t="n">
        <v>46309</v>
      </c>
      <c r="B9" s="41" t="n">
        <v>3227</v>
      </c>
    </row>
    <row r="10">
      <c r="A10" s="55" t="n">
        <v>46311</v>
      </c>
      <c r="B10" s="41" t="n">
        <v>3227</v>
      </c>
    </row>
    <row r="11">
      <c r="A11" s="55" t="n">
        <v>46313</v>
      </c>
      <c r="B11" s="41" t="n">
        <v>3226</v>
      </c>
    </row>
    <row r="12">
      <c r="A12" s="55" t="n">
        <v>46314</v>
      </c>
      <c r="B12" s="41" t="n">
        <v>3226</v>
      </c>
    </row>
    <row r="13">
      <c r="A13" s="55" t="n">
        <v>46316</v>
      </c>
      <c r="B13" s="41" t="n">
        <v>3225</v>
      </c>
    </row>
    <row r="14">
      <c r="A14" s="55" t="n">
        <v>46318</v>
      </c>
      <c r="B14" s="41" t="n">
        <v>3227</v>
      </c>
    </row>
    <row r="15">
      <c r="A15" s="55" t="n">
        <v>46320</v>
      </c>
      <c r="B15" s="41" t="n">
        <v>3226</v>
      </c>
    </row>
    <row r="16">
      <c r="A16" s="55" t="n">
        <v>46321</v>
      </c>
      <c r="B16" s="41" t="n">
        <v>3224</v>
      </c>
    </row>
    <row r="17">
      <c r="A17" s="55" t="n">
        <v>46323</v>
      </c>
      <c r="B17" s="41" t="n">
        <v>3222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13" customWidth="1" style="24" min="2" max="2"/>
    <col width="20" customWidth="1" style="24" min="3" max="3"/>
    <col width="36" customWidth="1" style="24" min="4" max="4"/>
    <col width="16" customWidth="1" style="24" min="5" max="5"/>
    <col width="13" customWidth="1" style="24" min="6" max="6"/>
    <col width="28" customWidth="1" style="24" min="7" max="7"/>
    <col width="60" customWidth="1" style="24" min="8" max="8"/>
  </cols>
  <sheetData>
    <row r="1" ht="39.55" customHeight="1" s="25">
      <c r="A1" s="29" t="inlineStr">
        <is>
          <t>№</t>
        </is>
      </c>
      <c r="B1" s="29" t="inlineStr">
        <is>
          <t>Бренд</t>
        </is>
      </c>
      <c r="C1" s="29" t="inlineStr">
        <is>
          <t>Аккаунт</t>
        </is>
      </c>
      <c r="D1" s="29" t="inlineStr">
        <is>
          <t>Ссылка</t>
        </is>
      </c>
      <c r="E1" s="29" t="inlineStr">
        <is>
          <t>Подписчики (последний замер)</t>
        </is>
      </c>
      <c r="F1" s="29" t="inlineStr">
        <is>
          <t>Публикаций (02.10)</t>
        </is>
      </c>
      <c r="G1" s="29" t="inlineStr">
        <is>
          <t>Сегмент</t>
        </is>
      </c>
      <c r="H1" s="29" t="inlineStr">
        <is>
          <t>Что взять для Ivbaby</t>
        </is>
      </c>
    </row>
    <row r="2" ht="26.85" customHeight="1" s="25">
      <c r="A2" s="42" t="n">
        <v>1</v>
      </c>
      <c r="B2" s="42" t="inlineStr">
        <is>
          <t>Mjölk</t>
        </is>
      </c>
      <c r="C2" s="42" t="inlineStr">
        <is>
          <t>@mjolk.ru</t>
        </is>
      </c>
      <c r="D2" s="43" t="inlineStr">
        <is>
          <t>https://www.instagram.com/mjolk.ru/</t>
        </is>
      </c>
      <c r="E2" s="44">
        <f>Сводка!B6</f>
        <v/>
      </c>
      <c r="F2" s="45" t="n">
        <v>5407</v>
      </c>
      <c r="G2" s="42" t="inlineStr">
        <is>
          <t>Малыши и дети, СПб, свой сайт</t>
        </is>
      </c>
      <c r="H2" s="42" t="inlineStr">
        <is>
          <t>Полезные шпаргалки («3 слоя на осень», подбор по погоде), призыв «сохраняйте»</t>
        </is>
      </c>
    </row>
    <row r="3" ht="15" customHeight="1" s="25">
      <c r="A3" s="42" t="n">
        <v>2</v>
      </c>
      <c r="B3" s="42" t="inlineStr">
        <is>
          <t>Acoola</t>
        </is>
      </c>
      <c r="C3" s="42" t="inlineStr">
        <is>
          <t>@acoolakids</t>
        </is>
      </c>
      <c r="D3" s="43" t="inlineStr">
        <is>
          <t>https://www.instagram.com/acoolakids/</t>
        </is>
      </c>
      <c r="E3" s="44">
        <f>Сводка!B7</f>
        <v/>
      </c>
      <c r="F3" s="45" t="n">
        <v>322</v>
      </c>
      <c r="G3" s="42" t="inlineStr">
        <is>
          <t>Дети 2–14, сеть магазинов</t>
        </is>
      </c>
      <c r="H3" s="42" t="inlineStr">
        <is>
          <t>Короткие подписи-вопросы к Reels, бэкстейдж съёмок</t>
        </is>
      </c>
    </row>
    <row r="4" ht="15" customHeight="1" s="25">
      <c r="A4" s="42" t="n">
        <v>3</v>
      </c>
      <c r="B4" s="42" t="inlineStr">
        <is>
          <t>Gulliver</t>
        </is>
      </c>
      <c r="C4" s="42" t="inlineStr">
        <is>
          <t>@gulliver_wear</t>
        </is>
      </c>
      <c r="D4" s="43" t="inlineStr">
        <is>
          <t>https://www.instagram.com/gulliver_wear/</t>
        </is>
      </c>
      <c r="E4" s="44">
        <f>Сводка!B8</f>
        <v/>
      </c>
      <c r="F4" s="45" t="n">
        <v>5296</v>
      </c>
      <c r="G4" s="42" t="inlineStr">
        <is>
          <t>Дети и подростки, премиум</t>
        </is>
      </c>
      <c r="H4" s="42" t="inlineStr">
        <is>
          <t>Сторителлинг про коллекцию, темы про подростков</t>
        </is>
      </c>
    </row>
    <row r="5" ht="15" customHeight="1" s="25">
      <c r="A5" s="42" t="n">
        <v>4</v>
      </c>
      <c r="B5" s="42" t="inlineStr">
        <is>
          <t>O'STIN kids</t>
        </is>
      </c>
      <c r="C5" s="42" t="inlineStr">
        <is>
          <t>@ostinkids</t>
        </is>
      </c>
      <c r="D5" s="43" t="inlineStr">
        <is>
          <t>https://www.instagram.com/ostinkids/</t>
        </is>
      </c>
      <c r="E5" s="44">
        <f>Сводка!B9</f>
        <v/>
      </c>
      <c r="F5" s="45" t="n">
        <v>1862</v>
      </c>
      <c r="G5" s="42" t="inlineStr">
        <is>
          <t>Дети, масс-маркет</t>
        </is>
      </c>
      <c r="H5" s="42" t="inlineStr">
        <is>
          <t>Готовые образы «с чем носить», школьная тема</t>
        </is>
      </c>
    </row>
    <row r="6" ht="26.85" customHeight="1" s="25">
      <c r="A6" s="42" t="n">
        <v>5</v>
      </c>
      <c r="B6" s="42" t="inlineStr">
        <is>
          <t>Rudiks</t>
        </is>
      </c>
      <c r="C6" s="42" t="inlineStr">
        <is>
          <t>@rudiks.ru</t>
        </is>
      </c>
      <c r="D6" s="43" t="inlineStr">
        <is>
          <t>https://www.instagram.com/rudiks.ru/</t>
        </is>
      </c>
      <c r="E6" s="44">
        <f>Сводка!B10</f>
        <v/>
      </c>
      <c r="F6" s="45" t="n">
        <v>1656</v>
      </c>
      <c r="G6" s="42" t="inlineStr">
        <is>
          <t>Малыши и дети, свой сайт</t>
        </is>
      </c>
      <c r="H6" s="42" t="inlineStr">
        <is>
          <t>Посты от мам-блогеров (UGC), «отправьте подруге», юмор про родителей</t>
        </is>
      </c>
    </row>
    <row r="7" ht="15" customHeight="1" s="25">
      <c r="A7" s="42" t="n">
        <v>6</v>
      </c>
      <c r="B7" s="42" t="inlineStr">
        <is>
          <t>PlayToday</t>
        </is>
      </c>
      <c r="C7" s="42" t="inlineStr">
        <is>
          <t>@playtoday_official</t>
        </is>
      </c>
      <c r="D7" s="43" t="inlineStr">
        <is>
          <t>https://www.instagram.com/playtoday_official/</t>
        </is>
      </c>
      <c r="E7" s="44">
        <f>Сводка!B11</f>
        <v/>
      </c>
      <c r="F7" s="45" t="n">
        <v>2383</v>
      </c>
      <c r="G7" s="42" t="inlineStr">
        <is>
          <t>Дети 0–16, магазины</t>
        </is>
      </c>
      <c r="H7" s="42" t="inlineStr">
        <is>
          <t>Гиды «как выбрать…», экспертный тон</t>
        </is>
      </c>
    </row>
    <row r="8" ht="15" customHeight="1" s="25">
      <c r="A8" s="42" t="n">
        <v>7</v>
      </c>
      <c r="B8" s="42" t="inlineStr">
        <is>
          <t>Ohra Kids</t>
        </is>
      </c>
      <c r="C8" s="42" t="inlineStr">
        <is>
          <t>@ohrakids</t>
        </is>
      </c>
      <c r="D8" s="43" t="inlineStr">
        <is>
          <t>https://www.instagram.com/ohrakids/</t>
        </is>
      </c>
      <c r="E8" s="44">
        <f>Сводка!B12</f>
        <v/>
      </c>
      <c r="F8" s="45" t="n">
        <v>330</v>
      </c>
      <c r="G8" s="42" t="inlineStr">
        <is>
          <t>Девочки, WB + Lamoda</t>
        </is>
      </c>
      <c r="H8" s="42" t="inlineStr">
        <is>
          <t>Артикулы WB прямо в подписи, розыгрыши с партнёрами</t>
        </is>
      </c>
    </row>
    <row r="9" ht="15" customHeight="1" s="25">
      <c r="A9" s="42" t="n">
        <v>8</v>
      </c>
      <c r="B9" s="42" t="inlineStr">
        <is>
          <t>Batik</t>
        </is>
      </c>
      <c r="C9" s="42" t="inlineStr">
        <is>
          <t>@tdbatik</t>
        </is>
      </c>
      <c r="D9" s="43" t="inlineStr">
        <is>
          <t>https://www.instagram.com/tdbatik/</t>
        </is>
      </c>
      <c r="E9" s="44">
        <f>Сводка!B13</f>
        <v/>
      </c>
      <c r="F9" s="45" t="n">
        <v>1856</v>
      </c>
      <c r="G9" s="42" t="inlineStr">
        <is>
          <t>Дети, Урал, свой сайт</t>
        </is>
      </c>
      <c r="H9" s="42" t="inlineStr">
        <is>
          <t>Почти только Reels, family look, короткие подписи</t>
        </is>
      </c>
    </row>
    <row r="10" ht="26.85" customHeight="1" s="25">
      <c r="A10" s="42" t="n">
        <v>9</v>
      </c>
      <c r="B10" s="42" t="inlineStr">
        <is>
          <t>Ramelka</t>
        </is>
      </c>
      <c r="C10" s="42" t="inlineStr">
        <is>
          <t>@ramelka_baby</t>
        </is>
      </c>
      <c r="D10" s="43" t="inlineStr">
        <is>
          <t>https://www.instagram.com/ramelka_baby/</t>
        </is>
      </c>
      <c r="E10" s="44">
        <f>Сводка!B14</f>
        <v/>
      </c>
      <c r="F10" s="45" t="n">
        <v>636</v>
      </c>
      <c r="G10" s="42" t="inlineStr">
        <is>
          <t>Дети 0–12, WB, своё производство</t>
        </is>
      </c>
      <c r="H10" s="42" t="inlineStr">
        <is>
          <t>Показ производства, артикулы WB хэштегами</t>
        </is>
      </c>
    </row>
    <row r="11" ht="26.85" customHeight="1" s="25">
      <c r="A11" s="42" t="n">
        <v>10</v>
      </c>
      <c r="B11" s="42" t="inlineStr">
        <is>
          <t>Oziti kids</t>
        </is>
      </c>
      <c r="C11" s="42" t="inlineStr">
        <is>
          <t>@ozitikids</t>
        </is>
      </c>
      <c r="D11" s="43" t="inlineStr">
        <is>
          <t>https://www.instagram.com/ozitikids/</t>
        </is>
      </c>
      <c r="E11" s="44">
        <f>Сводка!B15</f>
        <v/>
      </c>
      <c r="F11" s="45" t="n">
        <v>89</v>
      </c>
      <c r="G11" s="42" t="inlineStr">
        <is>
          <t>Дети 104–146, WB</t>
        </is>
      </c>
      <c r="H11" s="42" t="inlineStr">
        <is>
          <t>Голосования «1, 2 или 3?» в комментариях, 3 образа из одной вещи</t>
        </is>
      </c>
    </row>
    <row r="12" ht="15" customHeight="1" s="25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15" customHeight="1" s="25">
      <c r="A13" s="46" t="inlineStr">
        <is>
          <t>Источник: открытые профили Instagram, просмотр 02.10.2026. Хэштеги: 7 из 10 брендов не используют их совсем, остальные — 0–5 на пост или артикулы WB.</t>
        </is>
      </c>
      <c r="B13" s="27" t="n"/>
      <c r="C13" s="27" t="n"/>
      <c r="D13" s="27" t="n"/>
      <c r="E13" s="27" t="n"/>
      <c r="F13" s="27" t="n"/>
      <c r="G13" s="27" t="n"/>
      <c r="H13" s="27" t="n"/>
    </row>
  </sheetData>
  <hyperlinks>
    <hyperlink xmlns:r="http://schemas.openxmlformats.org/officeDocument/2006/relationships" ref="D2" display="https://www.instagram.com/mjolk.ru/" r:id="rId1"/>
    <hyperlink xmlns:r="http://schemas.openxmlformats.org/officeDocument/2006/relationships" ref="D3" display="https://www.instagram.com/acoolakids/" r:id="rId2"/>
    <hyperlink xmlns:r="http://schemas.openxmlformats.org/officeDocument/2006/relationships" ref="D4" display="https://www.instagram.com/gulliver_wear/" r:id="rId3"/>
    <hyperlink xmlns:r="http://schemas.openxmlformats.org/officeDocument/2006/relationships" ref="D5" display="https://www.instagram.com/ostinkids/" r:id="rId4"/>
    <hyperlink xmlns:r="http://schemas.openxmlformats.org/officeDocument/2006/relationships" ref="D6" display="https://www.instagram.com/rudiks.ru/" r:id="rId5"/>
    <hyperlink xmlns:r="http://schemas.openxmlformats.org/officeDocument/2006/relationships" ref="D7" display="https://www.instagram.com/playtoday_official/" r:id="rId6"/>
    <hyperlink xmlns:r="http://schemas.openxmlformats.org/officeDocument/2006/relationships" ref="D8" display="https://www.instagram.com/ohrakids/" r:id="rId7"/>
    <hyperlink xmlns:r="http://schemas.openxmlformats.org/officeDocument/2006/relationships" ref="D9" display="https://www.instagram.com/tdbatik/" r:id="rId8"/>
    <hyperlink xmlns:r="http://schemas.openxmlformats.org/officeDocument/2006/relationships" ref="D10" display="https://www.instagram.com/ramelka_baby/" r:id="rId9"/>
    <hyperlink xmlns:r="http://schemas.openxmlformats.org/officeDocument/2006/relationships" ref="D11" display="https://www.instagram.com/ozitikids/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4" min="1" max="1"/>
    <col width="50" customWidth="1" style="24" min="2" max="2"/>
    <col width="40" customWidth="1" style="24" min="3" max="3"/>
    <col width="18" customWidth="1" style="24" min="4" max="4"/>
  </cols>
  <sheetData>
    <row r="1" ht="26.85" customHeight="1" s="25">
      <c r="A1" s="29" t="inlineStr">
        <is>
          <t>Тип</t>
        </is>
      </c>
      <c r="B1" s="29" t="inlineStr">
        <is>
          <t>Фраза / хэштег</t>
        </is>
      </c>
      <c r="C1" s="29" t="inlineStr">
        <is>
          <t>Где встречается</t>
        </is>
      </c>
      <c r="D1" s="29" t="inlineStr">
        <is>
          <t>Используем в Ivbaby</t>
        </is>
      </c>
    </row>
    <row r="2" ht="15" customHeight="1" s="25">
      <c r="A2" s="42" t="inlineStr">
        <is>
          <t>Крючок (1-я строка)</t>
        </is>
      </c>
      <c r="B2" s="42" t="inlineStr">
        <is>
          <t>Похолодало? / Заметно похолодало 🍂</t>
        </is>
      </c>
      <c r="C2" s="42" t="inlineStr">
        <is>
          <t>Mjölk</t>
        </is>
      </c>
      <c r="D2" s="42" t="inlineStr">
        <is>
          <t>Да</t>
        </is>
      </c>
    </row>
    <row r="3" ht="15" customHeight="1" s="25">
      <c r="A3" s="42" t="inlineStr">
        <is>
          <t>Крючок (1-я строка)</t>
        </is>
      </c>
      <c r="B3" s="42" t="inlineStr">
        <is>
          <t>Тот самый костюм, который…</t>
        </is>
      </c>
      <c r="C3" s="42" t="inlineStr">
        <is>
          <t>Mjölk, Rudiks</t>
        </is>
      </c>
      <c r="D3" s="42" t="inlineStr">
        <is>
          <t>Да</t>
        </is>
      </c>
    </row>
    <row r="4" ht="15" customHeight="1" s="25">
      <c r="A4" s="42" t="inlineStr">
        <is>
          <t>Крючок (1-я строка)</t>
        </is>
      </c>
      <c r="B4" s="42" t="inlineStr">
        <is>
          <t>Как выбрать … и не ошибиться?</t>
        </is>
      </c>
      <c r="C4" s="42" t="inlineStr">
        <is>
          <t>PlayToday, Mjölk</t>
        </is>
      </c>
      <c r="D4" s="42" t="inlineStr">
        <is>
          <t>Да</t>
        </is>
      </c>
    </row>
    <row r="5" ht="15" customHeight="1" s="25">
      <c r="A5" s="42" t="inlineStr">
        <is>
          <t>Крючок (1-я строка)</t>
        </is>
      </c>
      <c r="B5" s="42" t="inlineStr">
        <is>
          <t>Какой цвет выберет ваш ребёнок?</t>
        </is>
      </c>
      <c r="C5" s="42" t="inlineStr">
        <is>
          <t>Oziti kids, Rudiks</t>
        </is>
      </c>
      <c r="D5" s="42" t="inlineStr">
        <is>
          <t>Да</t>
        </is>
      </c>
    </row>
    <row r="6" ht="15" customHeight="1" s="25">
      <c r="A6" s="42" t="inlineStr">
        <is>
          <t>Крючок (1-я строка)</t>
        </is>
      </c>
      <c r="B6" s="42" t="inlineStr">
        <is>
          <t>Школьные брюки, в которых не мёрзнут</t>
        </is>
      </c>
      <c r="C6" s="42" t="inlineStr">
        <is>
          <t>O'STIN kids</t>
        </is>
      </c>
      <c r="D6" s="42" t="inlineStr">
        <is>
          <t>Да</t>
        </is>
      </c>
    </row>
    <row r="7" ht="15" customHeight="1" s="25">
      <c r="A7" s="42" t="inlineStr">
        <is>
          <t>Призыв к действию</t>
        </is>
      </c>
      <c r="B7" s="42" t="inlineStr">
        <is>
          <t>Пишите в комментариях 1, 2 или 3 👇</t>
        </is>
      </c>
      <c r="C7" s="42" t="inlineStr">
        <is>
          <t>Oziti kids, Acoola</t>
        </is>
      </c>
      <c r="D7" s="42" t="inlineStr">
        <is>
          <t>Да</t>
        </is>
      </c>
    </row>
    <row r="8" ht="15" customHeight="1" s="25">
      <c r="A8" s="42" t="inlineStr">
        <is>
          <t>Призыв к действию</t>
        </is>
      </c>
      <c r="B8" s="42" t="inlineStr">
        <is>
          <t>Сохраняйте, чтобы не потерять 📌</t>
        </is>
      </c>
      <c r="C8" s="42" t="inlineStr">
        <is>
          <t>Mjölk, Rudiks, Моделька</t>
        </is>
      </c>
      <c r="D8" s="42" t="inlineStr">
        <is>
          <t>Да</t>
        </is>
      </c>
    </row>
    <row r="9" ht="15" customHeight="1" s="25">
      <c r="A9" s="42" t="inlineStr">
        <is>
          <t>Призыв к действию</t>
        </is>
      </c>
      <c r="B9" s="42" t="inlineStr">
        <is>
          <t>Отправьте подруге / сыну</t>
        </is>
      </c>
      <c r="C9" s="42" t="inlineStr">
        <is>
          <t>Rudiks</t>
        </is>
      </c>
      <c r="D9" s="42" t="inlineStr">
        <is>
          <t>Да</t>
        </is>
      </c>
    </row>
    <row r="10" ht="15" customHeight="1" s="25">
      <c r="A10" s="42" t="inlineStr">
        <is>
          <t>Призыв к действию</t>
        </is>
      </c>
      <c r="B10" s="42" t="inlineStr">
        <is>
          <t>Делитесь своими лайфхаками в комментариях</t>
        </is>
      </c>
      <c r="C10" s="42" t="inlineStr">
        <is>
          <t>Mjölk, Gulliver</t>
        </is>
      </c>
      <c r="D10" s="42" t="inlineStr">
        <is>
          <t>План</t>
        </is>
      </c>
    </row>
    <row r="11" ht="15" customHeight="1" s="25">
      <c r="A11" s="42" t="inlineStr">
        <is>
          <t>Позиционирование</t>
        </is>
      </c>
      <c r="B11" s="42" t="inlineStr">
        <is>
          <t>Российский производитель детской одежды</t>
        </is>
      </c>
      <c r="C11" s="42" t="inlineStr">
        <is>
          <t>Rudiks, Ramelka</t>
        </is>
      </c>
      <c r="D11" s="42" t="inlineStr">
        <is>
          <t>Да</t>
        </is>
      </c>
    </row>
    <row r="12" ht="26.85" customHeight="1" s="25">
      <c r="A12" s="42" t="inlineStr">
        <is>
          <t>Позиционирование</t>
        </is>
      </c>
      <c r="B12" s="42" t="inlineStr">
        <is>
          <t>Модная / современная / стильная одежда для детей</t>
        </is>
      </c>
      <c r="C12" s="42" t="inlineStr">
        <is>
          <t>Gulliver, O'STIN kids</t>
        </is>
      </c>
      <c r="D12" s="42" t="inlineStr">
        <is>
          <t>Да</t>
        </is>
      </c>
    </row>
    <row r="13" ht="15" customHeight="1" s="25">
      <c r="A13" s="42" t="inlineStr">
        <is>
          <t>Позиционирование</t>
        </is>
      </c>
      <c r="B13" s="42" t="inlineStr">
        <is>
          <t>Для детей. С любовью. На каждый день.</t>
        </is>
      </c>
      <c r="C13" s="42" t="inlineStr">
        <is>
          <t>Batik</t>
        </is>
      </c>
      <c r="D13" s="42" t="inlineStr">
        <is>
          <t>Нет</t>
        </is>
      </c>
    </row>
    <row r="14" ht="15" customHeight="1" s="25">
      <c r="A14" s="42" t="inlineStr">
        <is>
          <t>Рубрика</t>
        </is>
      </c>
      <c r="B14" s="42" t="inlineStr">
        <is>
          <t>Шпаргалка: размер, слои по погоде, уход</t>
        </is>
      </c>
      <c r="C14" s="42" t="inlineStr">
        <is>
          <t>Mjölk, PlayToday</t>
        </is>
      </c>
      <c r="D14" s="42" t="inlineStr">
        <is>
          <t>Да</t>
        </is>
      </c>
    </row>
    <row r="15" ht="15" customHeight="1" s="25">
      <c r="A15" s="42" t="inlineStr">
        <is>
          <t>Рубрика</t>
        </is>
      </c>
      <c r="B15" s="42" t="inlineStr">
        <is>
          <t>Производство / качество в деталях</t>
        </is>
      </c>
      <c r="C15" s="42" t="inlineStr">
        <is>
          <t>Ramelka, Ivbaby (архив)</t>
        </is>
      </c>
      <c r="D15" s="42" t="inlineStr">
        <is>
          <t>План</t>
        </is>
      </c>
    </row>
    <row r="16" ht="15" customHeight="1" s="25">
      <c r="A16" s="42" t="inlineStr">
        <is>
          <t>Рубрика</t>
        </is>
      </c>
      <c r="B16" s="42" t="inlineStr">
        <is>
          <t>Family look / парные образы</t>
        </is>
      </c>
      <c r="C16" s="42" t="inlineStr">
        <is>
          <t>Batik, Mjölk</t>
        </is>
      </c>
      <c r="D16" s="42" t="inlineStr">
        <is>
          <t>План</t>
        </is>
      </c>
    </row>
    <row r="17" ht="15" customHeight="1" s="25">
      <c r="A17" s="42" t="inlineStr">
        <is>
          <t>Рубрика</t>
        </is>
      </c>
      <c r="B17" s="42" t="inlineStr">
        <is>
          <t>Отзывы и посты мам-блогеров</t>
        </is>
      </c>
      <c r="C17" s="42" t="inlineStr">
        <is>
          <t>Rudiks, Ramelka</t>
        </is>
      </c>
      <c r="D17" s="42" t="inlineStr">
        <is>
          <t>План</t>
        </is>
      </c>
    </row>
    <row r="18" ht="15" customHeight="1" s="25">
      <c r="A18" s="42" t="inlineStr">
        <is>
          <t>Рубрика</t>
        </is>
      </c>
      <c r="B18" s="42" t="inlineStr">
        <is>
          <t>Розыгрыш с партнёром</t>
        </is>
      </c>
      <c r="C18" s="42" t="inlineStr">
        <is>
          <t>Ohra Kids</t>
        </is>
      </c>
      <c r="D18" s="42" t="inlineStr">
        <is>
          <t>План</t>
        </is>
      </c>
    </row>
    <row r="19" ht="15" customHeight="1" s="25">
      <c r="A19" s="42" t="inlineStr">
        <is>
          <t>Хэштег (бренд)</t>
        </is>
      </c>
      <c r="B19" s="42" t="inlineStr">
        <is>
          <t>#ivbaby #ивбэби</t>
        </is>
      </c>
      <c r="C19" s="42" t="inlineStr">
        <is>
          <t>—</t>
        </is>
      </c>
      <c r="D19" s="42" t="inlineStr">
        <is>
          <t>Да</t>
        </is>
      </c>
    </row>
    <row r="20" ht="15" customHeight="1" s="25">
      <c r="A20" s="42" t="inlineStr">
        <is>
          <t>Хэштег (тема)</t>
        </is>
      </c>
      <c r="B20" s="42" t="inlineStr">
        <is>
          <t>#детскаяодежда</t>
        </is>
      </c>
      <c r="C20" s="42" t="inlineStr">
        <is>
          <t>Моделька, Ivbaby</t>
        </is>
      </c>
      <c r="D20" s="42" t="inlineStr">
        <is>
          <t>Да</t>
        </is>
      </c>
    </row>
    <row r="21" ht="15" customHeight="1" s="25">
      <c r="A21" s="42" t="inlineStr">
        <is>
          <t>Хэштег (тема)</t>
        </is>
      </c>
      <c r="B21" s="42" t="inlineStr">
        <is>
          <t>#костюмдлядевочки #костюмдлямальчика</t>
        </is>
      </c>
      <c r="C21" s="42" t="inlineStr">
        <is>
          <t>—</t>
        </is>
      </c>
      <c r="D21" s="42" t="inlineStr">
        <is>
          <t>Да</t>
        </is>
      </c>
    </row>
    <row r="22" ht="26.85" customHeight="1" s="25">
      <c r="A22" s="42" t="inlineStr">
        <is>
          <t>Хэштег (тема)</t>
        </is>
      </c>
      <c r="B22" s="42" t="inlineStr">
        <is>
          <t>#костюмсначесом #теплыйкостюм #флисовыйкостюм</t>
        </is>
      </c>
      <c r="C22" s="42" t="inlineStr">
        <is>
          <t>—</t>
        </is>
      </c>
      <c r="D22" s="42" t="inlineStr">
        <is>
          <t>Да</t>
        </is>
      </c>
    </row>
    <row r="23" ht="26.85" customHeight="1" s="25">
      <c r="A23" s="42" t="inlineStr">
        <is>
          <t>Хэштег (тема)</t>
        </is>
      </c>
      <c r="B23" s="42" t="inlineStr">
        <is>
          <t>#брюкипалаццо #школьнаяформа #одеждадляшколы</t>
        </is>
      </c>
      <c r="C23" s="42" t="inlineStr">
        <is>
          <t>—</t>
        </is>
      </c>
      <c r="D23" s="42" t="inlineStr">
        <is>
          <t>Да</t>
        </is>
      </c>
    </row>
    <row r="24" ht="15" customHeight="1" s="25">
      <c r="A24" s="42" t="inlineStr">
        <is>
          <t>Хэштег (маркетплейс)</t>
        </is>
      </c>
      <c r="B24" s="42" t="inlineStr">
        <is>
          <t>#wildberries #ozon + #&lt;артикул WB&gt;</t>
        </is>
      </c>
      <c r="C24" s="42" t="inlineStr">
        <is>
          <t>Ramelka, Oziti kids, Ohra Kids</t>
        </is>
      </c>
      <c r="D24" s="42" t="inlineStr">
        <is>
          <t>Да</t>
        </is>
      </c>
    </row>
    <row r="25" ht="26.85" customHeight="1" s="25">
      <c r="A25" s="42" t="inlineStr">
        <is>
          <t>Поисковая фраза (имя профиля)</t>
        </is>
      </c>
      <c r="B25" s="42" t="inlineStr">
        <is>
          <t>Ivbaby | Детская одежда</t>
        </is>
      </c>
      <c r="C25" s="42" t="inlineStr">
        <is>
          <t>Batik, Ramelka, Oziti kids («Детская одежда | …»)</t>
        </is>
      </c>
      <c r="D25" s="42" t="inlineStr">
        <is>
          <t>16.10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4" min="1" max="1"/>
    <col width="9" customWidth="1" style="24" min="2" max="2"/>
    <col width="38" customWidth="1" style="24" min="3" max="3"/>
    <col width="12" customWidth="1" style="24" min="4" max="5"/>
    <col width="34" customWidth="1" style="24" min="6" max="6"/>
    <col width="9" customWidth="1" style="24" min="7" max="7"/>
    <col width="11" customWidth="1" style="24" min="8" max="8"/>
    <col width="8" customWidth="1" style="24" min="9" max="9"/>
    <col width="12" customWidth="1" style="24" min="10" max="11"/>
    <col width="9" customWidth="1" style="24" min="12" max="12"/>
    <col width="15" customWidth="1" style="24" min="13" max="13"/>
    <col width="12" customWidth="1" style="24" min="14" max="14"/>
  </cols>
  <sheetData>
    <row r="1" ht="26.85" customHeight="1" s="25">
      <c r="A1" s="29" t="inlineStr">
        <is>
          <t>Дата</t>
        </is>
      </c>
      <c r="B1" s="29" t="inlineStr">
        <is>
          <t>ID в плане</t>
        </is>
      </c>
      <c r="C1" s="29" t="inlineStr">
        <is>
          <t>Товар</t>
        </is>
      </c>
      <c r="D1" s="29" t="inlineStr">
        <is>
          <t>Арт. WB</t>
        </is>
      </c>
      <c r="E1" s="29" t="inlineStr">
        <is>
          <t>Арт. Ozon</t>
        </is>
      </c>
      <c r="F1" s="29" t="inlineStr">
        <is>
          <t>Ссылка</t>
        </is>
      </c>
      <c r="G1" s="29" t="inlineStr">
        <is>
          <t>Охват</t>
        </is>
      </c>
      <c r="H1" s="29" t="inlineStr">
        <is>
          <t>Просмотры</t>
        </is>
      </c>
      <c r="I1" s="29" t="inlineStr">
        <is>
          <t>Лайки</t>
        </is>
      </c>
      <c r="J1" s="29" t="inlineStr">
        <is>
          <t>Комментарии</t>
        </is>
      </c>
      <c r="K1" s="29" t="inlineStr">
        <is>
          <t>Сохранения</t>
        </is>
      </c>
      <c r="L1" s="29" t="inlineStr">
        <is>
          <t>Репосты</t>
        </is>
      </c>
      <c r="M1" s="29" t="inlineStr">
        <is>
          <t>Вовлечённость, %</t>
        </is>
      </c>
      <c r="N1" s="29" t="inlineStr">
        <is>
          <t>Обновлено</t>
        </is>
      </c>
    </row>
    <row r="2" ht="15" customHeight="1" s="25">
      <c r="A2" s="56" t="n">
        <v>46297</v>
      </c>
      <c r="B2" s="48" t="inlineStr">
        <is>
          <t>p01</t>
        </is>
      </c>
      <c r="C2" s="48" t="inlineStr">
        <is>
          <t>Хит продаж: тёплый костюм для девочки</t>
        </is>
      </c>
      <c r="D2" s="48" t="n">
        <v>479991654</v>
      </c>
      <c r="E2" s="48" t="n">
        <v>2576298334</v>
      </c>
      <c r="F2" s="49" t="inlineStr">
        <is>
          <t>https://www.instagram.com/p/DeACb-NoFH1/</t>
        </is>
      </c>
      <c r="G2" s="48" t="n">
        <v>48</v>
      </c>
      <c r="H2" s="48" t="n">
        <v>108</v>
      </c>
      <c r="I2" s="48" t="n">
        <v>3</v>
      </c>
      <c r="J2" s="48" t="n">
        <v>1</v>
      </c>
      <c r="K2" s="48" t="n">
        <v>0</v>
      </c>
      <c r="L2" s="48" t="n">
        <v>1</v>
      </c>
      <c r="M2" s="50">
        <f>IF(N(G2)&gt;0,(I2+J2+K2+L2)/G2,"")</f>
        <v/>
      </c>
      <c r="N2" s="56" t="n">
        <v>46323</v>
      </c>
    </row>
    <row r="3">
      <c r="A3" s="57" t="n">
        <v>46299</v>
      </c>
      <c r="B3" s="52" t="inlineStr">
        <is>
          <t>p02</t>
        </is>
      </c>
      <c r="C3" s="52" t="inlineStr">
        <is>
          <t>Спортивный костюм с начёсом — 6 цветов</t>
        </is>
      </c>
      <c r="D3" s="52" t="n">
        <v>99670734</v>
      </c>
      <c r="E3" s="52" t="n">
        <v>857790815</v>
      </c>
      <c r="F3" s="53" t="inlineStr">
        <is>
          <t>https://www.instagram.com/p/DeFT4JdD7Yd/</t>
        </is>
      </c>
      <c r="G3" s="52" t="n">
        <v>54</v>
      </c>
      <c r="H3" s="52" t="n">
        <v>141</v>
      </c>
      <c r="I3" s="52" t="n">
        <v>3</v>
      </c>
      <c r="J3" s="52" t="n">
        <v>0</v>
      </c>
      <c r="K3" s="52" t="n">
        <v>0</v>
      </c>
      <c r="L3" s="52" t="n">
        <v>0</v>
      </c>
      <c r="M3" s="54">
        <f>IF(N(G3)&gt;0,(I3+J3+K3+L3)/G3,"")</f>
        <v/>
      </c>
      <c r="N3" s="57" t="n">
        <v>46323</v>
      </c>
    </row>
    <row r="4">
      <c r="A4" s="57" t="n">
        <v>46302</v>
      </c>
      <c r="B4" s="52" t="inlineStr">
        <is>
          <t>p04</t>
        </is>
      </c>
      <c r="C4" s="52" t="inlineStr">
        <is>
          <t>Утеплённые школьные брюки палаццо</t>
        </is>
      </c>
      <c r="D4" s="52" t="n">
        <v>481319471</v>
      </c>
      <c r="E4" s="52" t="n">
        <v>2581693697</v>
      </c>
      <c r="F4" s="53" t="inlineStr">
        <is>
          <t>https://www.instagram.com/reel/DeNP7SDDVXc/</t>
        </is>
      </c>
      <c r="G4" s="52" t="n">
        <v>63</v>
      </c>
      <c r="H4" s="52" t="n">
        <v>63</v>
      </c>
      <c r="I4" s="52" t="n">
        <v>4</v>
      </c>
      <c r="J4" s="52" t="n">
        <v>0</v>
      </c>
      <c r="K4" s="52" t="n">
        <v>0</v>
      </c>
      <c r="L4" s="52" t="n">
        <v>0</v>
      </c>
      <c r="M4" s="54">
        <f>IF(N(G4)&gt;0,(I4+J4+K4+L4)/G4,"")</f>
        <v/>
      </c>
      <c r="N4" s="57" t="n">
        <v>46323</v>
      </c>
    </row>
    <row r="5">
      <c r="A5" s="57" t="n">
        <v>46304</v>
      </c>
      <c r="B5" s="52" t="inlineStr">
        <is>
          <t>p05</t>
        </is>
      </c>
      <c r="C5" s="52" t="inlineStr">
        <is>
          <t>Костюм для девочки с принтом</t>
        </is>
      </c>
      <c r="D5" s="52" t="n">
        <v>479961106</v>
      </c>
      <c r="E5" s="52" t="n">
        <v>2581089081</v>
      </c>
      <c r="F5" s="53" t="inlineStr">
        <is>
          <t>https://www.instagram.com/p/DeSWbZgmSyf/</t>
        </is>
      </c>
      <c r="G5" s="52" t="n">
        <v>39</v>
      </c>
      <c r="H5" s="52" t="n">
        <v>88</v>
      </c>
      <c r="I5" s="52" t="n">
        <v>2</v>
      </c>
      <c r="J5" s="52" t="n">
        <v>0</v>
      </c>
      <c r="K5" s="52" t="n">
        <v>0</v>
      </c>
      <c r="L5" s="52" t="n">
        <v>0</v>
      </c>
      <c r="M5" s="54">
        <f>IF(N(G5)&gt;0,(I5+J5+K5+L5)/G5,"")</f>
        <v/>
      </c>
      <c r="N5" s="57" t="n">
        <v>46323</v>
      </c>
    </row>
    <row r="6">
      <c r="A6" s="57" t="n">
        <v>46306</v>
      </c>
      <c r="B6" s="52" t="inlineStr">
        <is>
          <t>p06</t>
        </is>
      </c>
      <c r="C6" s="52" t="inlineStr">
        <is>
          <t>Тёплый костюм для девочки — 4 оттенка</t>
        </is>
      </c>
      <c r="D6" s="52" t="n">
        <v>22061090</v>
      </c>
      <c r="E6" s="52" t="n">
        <v>856765298</v>
      </c>
      <c r="F6" s="53" t="inlineStr">
        <is>
          <t>https://www.instagram.com/p/DeXbwysGDVs/</t>
        </is>
      </c>
      <c r="G6" s="52" t="n">
        <v>44</v>
      </c>
      <c r="H6" s="52" t="n">
        <v>110</v>
      </c>
      <c r="I6" s="52" t="n">
        <v>0</v>
      </c>
      <c r="J6" s="52" t="n">
        <v>0</v>
      </c>
      <c r="K6" s="52" t="n">
        <v>0</v>
      </c>
      <c r="L6" s="52" t="n">
        <v>0</v>
      </c>
      <c r="M6" s="54">
        <f>IF(N(G6)&gt;0,(I6+J6+K6+L6)/G6,"")</f>
        <v/>
      </c>
      <c r="N6" s="57" t="n">
        <v>46323</v>
      </c>
    </row>
    <row r="7">
      <c r="A7" s="57" t="n">
        <v>46309</v>
      </c>
      <c r="B7" s="52" t="inlineStr">
        <is>
          <t>p08</t>
        </is>
      </c>
      <c r="C7" s="52" t="inlineStr">
        <is>
          <t>Двухцветный костюм для девочки</t>
        </is>
      </c>
      <c r="D7" s="52" t="n">
        <v>552519921</v>
      </c>
      <c r="E7" s="52" t="n">
        <v>3168656738</v>
      </c>
      <c r="F7" s="53" t="inlineStr">
        <is>
          <t>https://www.instagram.com/reel/DefPKxMAK8f/</t>
        </is>
      </c>
      <c r="G7" s="52" t="n">
        <v>32</v>
      </c>
      <c r="H7" s="52" t="n">
        <v>43</v>
      </c>
      <c r="I7" s="52" t="n">
        <v>0</v>
      </c>
      <c r="J7" s="52" t="n">
        <v>0</v>
      </c>
      <c r="K7" s="52" t="n">
        <v>0</v>
      </c>
      <c r="L7" s="52" t="n">
        <v>0</v>
      </c>
      <c r="M7" s="54">
        <f>IF(N(G7)&gt;0,(I7+J7+K7+L7)/G7,"")</f>
        <v/>
      </c>
      <c r="N7" s="57" t="n">
        <v>46323</v>
      </c>
    </row>
    <row r="8">
      <c r="A8" s="57" t="n">
        <v>46311</v>
      </c>
      <c r="B8" s="52" t="inlineStr">
        <is>
          <t>p09</t>
        </is>
      </c>
      <c r="C8" s="52" t="inlineStr">
        <is>
          <t>Спортивный костюм со шнуровкой</t>
        </is>
      </c>
      <c r="D8" s="52" t="n">
        <v>124002921</v>
      </c>
      <c r="E8" s="52" t="n">
        <v>855854788</v>
      </c>
      <c r="F8" s="53" t="inlineStr">
        <is>
          <t>https://www.instagram.com/p/DekO47WlkVn/</t>
        </is>
      </c>
      <c r="G8" s="52" t="n">
        <v>37</v>
      </c>
      <c r="H8" s="52" t="n">
        <v>65</v>
      </c>
      <c r="I8" s="52" t="n">
        <v>2</v>
      </c>
      <c r="J8" s="52" t="n">
        <v>0</v>
      </c>
      <c r="K8" s="52" t="n">
        <v>0</v>
      </c>
      <c r="L8" s="52" t="n">
        <v>0</v>
      </c>
      <c r="M8" s="54">
        <f>IF(N(G8)&gt;0,(I8+J8+K8+L8)/G8,"")</f>
        <v/>
      </c>
      <c r="N8" s="57" t="n">
        <v>46323</v>
      </c>
    </row>
    <row r="9">
      <c r="A9" s="57" t="n">
        <v>46313</v>
      </c>
      <c r="B9" s="52" t="inlineStr">
        <is>
          <t>p10</t>
        </is>
      </c>
      <c r="C9" s="52" t="inlineStr">
        <is>
          <t>Костюм с начёсом и принтом на спине</t>
        </is>
      </c>
      <c r="D9" s="52" t="n">
        <v>502796956</v>
      </c>
      <c r="E9" s="52" t="n">
        <v>2775992327</v>
      </c>
      <c r="F9" s="53" t="inlineStr">
        <is>
          <t>https://www.instagram.com/p/DepTivqnCbC/</t>
        </is>
      </c>
      <c r="G9" s="52" t="n">
        <v>24</v>
      </c>
      <c r="H9" s="52" t="n">
        <v>36</v>
      </c>
      <c r="I9" s="52" t="n">
        <v>1</v>
      </c>
      <c r="J9" s="52" t="n">
        <v>0</v>
      </c>
      <c r="K9" s="52" t="n">
        <v>0</v>
      </c>
      <c r="L9" s="52" t="n">
        <v>0</v>
      </c>
      <c r="M9" s="54">
        <f>IF(N(G9)&gt;0,(I9+J9+K9+L9)/G9,"")</f>
        <v/>
      </c>
      <c r="N9" s="57" t="n">
        <v>46323</v>
      </c>
    </row>
    <row r="10">
      <c r="A10" s="57" t="n">
        <v>46314</v>
      </c>
      <c r="B10" s="52" t="inlineStr">
        <is>
          <t>p11</t>
        </is>
      </c>
      <c r="C10" s="52" t="inlineStr">
        <is>
          <t>Тёплый костюм для мальчика с принтом</t>
        </is>
      </c>
      <c r="D10" s="52" t="n">
        <v>493757862</v>
      </c>
      <c r="E10" s="52" t="n">
        <v>2717792134</v>
      </c>
      <c r="F10" s="53" t="inlineStr">
        <is>
          <t>https://www.instagram.com/p/DesJDEuiRm8/</t>
        </is>
      </c>
      <c r="G10" s="52" t="n">
        <v>31</v>
      </c>
      <c r="H10" s="52" t="n">
        <v>65</v>
      </c>
      <c r="I10" s="52" t="n">
        <v>3</v>
      </c>
      <c r="J10" s="52" t="n">
        <v>0</v>
      </c>
      <c r="K10" s="52" t="n">
        <v>0</v>
      </c>
      <c r="L10" s="52" t="n">
        <v>1</v>
      </c>
      <c r="M10" s="54">
        <f>IF(N(G10)&gt;0,(I10+J10+K10+L10)/G10,"")</f>
        <v/>
      </c>
      <c r="N10" s="57" t="n">
        <v>46323</v>
      </c>
    </row>
    <row r="11">
      <c r="A11" s="57" t="n">
        <v>46316</v>
      </c>
      <c r="B11" s="52" t="inlineStr">
        <is>
          <t>p12</t>
        </is>
      </c>
      <c r="C11" s="52" t="inlineStr">
        <is>
          <t>Тёплый костюм с капюшоном: 7 цветов</t>
        </is>
      </c>
      <c r="D11" s="52" t="n">
        <v>88668054</v>
      </c>
      <c r="E11" s="52" t="n">
        <v>857790934</v>
      </c>
      <c r="F11" s="53" t="inlineStr">
        <is>
          <t>https://www.instagram.com/reel/DexK31oAuYN/</t>
        </is>
      </c>
      <c r="G11" s="52" t="n">
        <v>72</v>
      </c>
      <c r="H11" s="52" t="n">
        <v>82</v>
      </c>
      <c r="I11" s="52" t="n">
        <v>1</v>
      </c>
      <c r="J11" s="52" t="n">
        <v>0</v>
      </c>
      <c r="K11" s="52" t="n">
        <v>0</v>
      </c>
      <c r="L11" s="52" t="n">
        <v>0</v>
      </c>
      <c r="M11" s="54">
        <f>IF(N(G11)&gt;0,(I11+J11+K11+L11)/G11,"")</f>
        <v/>
      </c>
      <c r="N11" s="57" t="n">
        <v>46323</v>
      </c>
    </row>
    <row r="12">
      <c r="A12" s="57" t="n">
        <v>46318</v>
      </c>
      <c r="B12" s="52" t="inlineStr">
        <is>
          <t>p13</t>
        </is>
      </c>
      <c r="C12" s="52" t="inlineStr">
        <is>
          <t>Шпаргалка: как выбрать размер</t>
        </is>
      </c>
      <c r="D12" s="52" t="n">
        <v>52456955</v>
      </c>
      <c r="E12" s="52" t="n">
        <v>855854486</v>
      </c>
      <c r="F12" s="53" t="inlineStr">
        <is>
          <t>https://www.instagram.com/p/De2UHsaoH-M/</t>
        </is>
      </c>
      <c r="G12" s="52" t="n">
        <v>34</v>
      </c>
      <c r="H12" s="52" t="n">
        <v>72</v>
      </c>
      <c r="I12" s="52" t="n">
        <v>0</v>
      </c>
      <c r="J12" s="52" t="n">
        <v>0</v>
      </c>
      <c r="K12" s="52" t="n">
        <v>0</v>
      </c>
      <c r="L12" s="52" t="n">
        <v>0</v>
      </c>
      <c r="M12" s="54">
        <f>IF(N(G12)&gt;0,(I12+J12+K12+L12)/G12,"")</f>
        <v/>
      </c>
      <c r="N12" s="57" t="n">
        <v>46323</v>
      </c>
    </row>
    <row r="13">
      <c r="A13" s="57" t="n">
        <v>46320</v>
      </c>
      <c r="B13" s="52" t="inlineStr">
        <is>
          <t>p14</t>
        </is>
      </c>
      <c r="C13" s="52" t="inlineStr">
        <is>
          <t>Толстовка с начёсом для девочки</t>
        </is>
      </c>
      <c r="D13" s="52" t="n">
        <v>34564033</v>
      </c>
      <c r="E13" s="52" t="n">
        <v>955444538</v>
      </c>
      <c r="F13" s="53" t="inlineStr">
        <is>
          <t>https://www.instagram.com/p/De7W_jNGNKQ/</t>
        </is>
      </c>
      <c r="G13" s="52" t="n">
        <v>18</v>
      </c>
      <c r="H13" s="52" t="n">
        <v>35</v>
      </c>
      <c r="I13" s="52" t="n">
        <v>0</v>
      </c>
      <c r="J13" s="52" t="n">
        <v>0</v>
      </c>
      <c r="K13" s="52" t="n">
        <v>0</v>
      </c>
      <c r="L13" s="52" t="n">
        <v>0</v>
      </c>
      <c r="M13" s="54">
        <f>IF(N(G13)&gt;0,(I13+J13+K13+L13)/G13,"")</f>
        <v/>
      </c>
      <c r="N13" s="57" t="n">
        <v>46323</v>
      </c>
    </row>
    <row r="14">
      <c r="A14" s="57" t="n">
        <v>46321</v>
      </c>
      <c r="B14" s="52" t="inlineStr">
        <is>
          <t>p15</t>
        </is>
      </c>
      <c r="C14" s="52" t="inlineStr">
        <is>
          <t>Тёплые брюки с начёсом для школы</t>
        </is>
      </c>
      <c r="D14" s="52" t="n">
        <v>116569962</v>
      </c>
      <c r="E14" s="52" t="n">
        <v>851169336</v>
      </c>
      <c r="F14" s="53" t="inlineStr">
        <is>
          <t>https://www.instagram.com/p/De-K0_YGngQ/</t>
        </is>
      </c>
      <c r="G14" s="52" t="n">
        <v>18</v>
      </c>
      <c r="H14" s="52" t="n">
        <v>37</v>
      </c>
      <c r="I14" s="52" t="n">
        <v>0</v>
      </c>
      <c r="J14" s="52" t="n">
        <v>0</v>
      </c>
      <c r="K14" s="52" t="n">
        <v>0</v>
      </c>
      <c r="L14" s="52" t="n">
        <v>0</v>
      </c>
      <c r="M14" s="54">
        <f>IF(N(G14)&gt;0,(I14+J14+K14+L14)/G14,"")</f>
        <v/>
      </c>
      <c r="N14" s="57" t="n">
        <v>46323</v>
      </c>
    </row>
    <row r="15">
      <c r="A15" s="57" t="n">
        <v>46323</v>
      </c>
      <c r="B15" s="52" t="inlineStr">
        <is>
          <t>p16</t>
        </is>
      </c>
      <c r="C15" s="52" t="inlineStr">
        <is>
          <t>Флисовый костюм для мальчика</t>
        </is>
      </c>
      <c r="D15" s="52" t="n">
        <v>485253326</v>
      </c>
      <c r="E15" s="52" t="n">
        <v>2717792690</v>
      </c>
      <c r="F15" s="53" t="inlineStr">
        <is>
          <t>https://www.instagram.com/reel/DfDTI9eFHc0/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4">
        <f>IF(N(G15)&gt;0,(I15+J15+K15+L15)/G15,"")</f>
        <v/>
      </c>
      <c r="N15" s="57" t="n">
        <v>46323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2026-10-02T18:18:38Z</dcterms:created>
  <dcterms:modified xsi:type="dcterms:W3CDTF">2026-10-28T20:33:32Z</dcterms:modified>
  <cp:revision>1</cp:revision>
</cp:coreProperties>
</file>