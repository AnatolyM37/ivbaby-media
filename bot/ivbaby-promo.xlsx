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Динамика" sheetId="2" state="visible" r:id="rId4"/>
    <sheet name="Конкуренты" sheetId="3" state="visible" r:id="rId5"/>
    <sheet name="Ключевые фразы" sheetId="4" state="visible" r:id="rId6"/>
    <sheet name="Наши посты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Instagram API, 02.10.2026</t>
        </r>
      </text>
    </comment>
    <comment ref="C2" authorId="0">
      <text>
        <r>
          <rPr>
            <sz val="10"/>
            <rFont val="Arial"/>
            <family val="2"/>
          </rPr>
          <t xml:space="preserve">Конкуренты: страницы профилей в Instagram, 02.10.2026 (у крупных аккаунтов Instagram округляет до тыс.)</t>
        </r>
      </text>
    </comment>
  </commentList>
</comments>
</file>

<file path=xl/sharedStrings.xml><?xml version="1.0" encoding="utf-8"?>
<sst xmlns="http://schemas.openxmlformats.org/spreadsheetml/2006/main" count="209" uniqueCount="139">
  <si>
    <t xml:space="preserve">Продвижение @ivbaby_official — сводка</t>
  </si>
  <si>
    <t xml:space="preserve"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</si>
  <si>
    <t xml:space="preserve">Аккаунт</t>
  </si>
  <si>
    <t xml:space="preserve">Подписчики сейчас</t>
  </si>
  <si>
    <t xml:space="preserve">Предыдущий замер</t>
  </si>
  <si>
    <t xml:space="preserve">Прирост</t>
  </si>
  <si>
    <t xml:space="preserve">Прирост, %</t>
  </si>
  <si>
    <t xml:space="preserve">Публикаций (02.10)</t>
  </si>
  <si>
    <t xml:space="preserve">Дата замера</t>
  </si>
  <si>
    <t xml:space="preserve">@ivbaby_official</t>
  </si>
  <si>
    <t xml:space="preserve">@mjolk.ru</t>
  </si>
  <si>
    <t xml:space="preserve">@acoolakids</t>
  </si>
  <si>
    <t xml:space="preserve">@gulliver_wear</t>
  </si>
  <si>
    <t xml:space="preserve">@ostinkids</t>
  </si>
  <si>
    <t xml:space="preserve">@rudiks.ru</t>
  </si>
  <si>
    <t xml:space="preserve">@playtoday_official</t>
  </si>
  <si>
    <t xml:space="preserve">@ohrakids</t>
  </si>
  <si>
    <t xml:space="preserve">@tdbatik</t>
  </si>
  <si>
    <t xml:space="preserve">@ramelka_baby</t>
  </si>
  <si>
    <t xml:space="preserve">@ozitikids</t>
  </si>
  <si>
    <t xml:space="preserve">Доля Ivbaby от лидера ниши, %</t>
  </si>
  <si>
    <t xml:space="preserve">Дата</t>
  </si>
  <si>
    <t xml:space="preserve">№</t>
  </si>
  <si>
    <t xml:space="preserve">Бренд</t>
  </si>
  <si>
    <t xml:space="preserve">Ссылка</t>
  </si>
  <si>
    <t xml:space="preserve">Подписчики (последний замер)</t>
  </si>
  <si>
    <t xml:space="preserve">Сегмент</t>
  </si>
  <si>
    <t xml:space="preserve">Что взять для Ivbaby</t>
  </si>
  <si>
    <t xml:space="preserve">Mjölk</t>
  </si>
  <si>
    <t xml:space="preserve">https://www.instagram.com/mjolk.ru/</t>
  </si>
  <si>
    <t xml:space="preserve">Малыши и дети, СПб, свой сайт</t>
  </si>
  <si>
    <t xml:space="preserve">Полезные шпаргалки («3 слоя на осень», подбор по погоде), призыв «сохраняйте»</t>
  </si>
  <si>
    <t xml:space="preserve">Acoola</t>
  </si>
  <si>
    <t xml:space="preserve">https://www.instagram.com/acoolakids/</t>
  </si>
  <si>
    <t xml:space="preserve">Дети 2–14, сеть магазинов</t>
  </si>
  <si>
    <t xml:space="preserve">Короткие подписи-вопросы к Reels, бэкстейдж съёмок</t>
  </si>
  <si>
    <t xml:space="preserve">Gulliver</t>
  </si>
  <si>
    <t xml:space="preserve">https://www.instagram.com/gulliver_wear/</t>
  </si>
  <si>
    <t xml:space="preserve">Дети и подростки, премиум</t>
  </si>
  <si>
    <t xml:space="preserve">Сторителлинг про коллекцию, темы про подростков</t>
  </si>
  <si>
    <t xml:space="preserve">O'STIN kids</t>
  </si>
  <si>
    <t xml:space="preserve">https://www.instagram.com/ostinkids/</t>
  </si>
  <si>
    <t xml:space="preserve">Дети, масс-маркет</t>
  </si>
  <si>
    <t xml:space="preserve">Готовые образы «с чем носить», школьная тема</t>
  </si>
  <si>
    <t xml:space="preserve">Rudiks</t>
  </si>
  <si>
    <t xml:space="preserve">https://www.instagram.com/rudiks.ru/</t>
  </si>
  <si>
    <t xml:space="preserve">Малыши и дети, свой сайт</t>
  </si>
  <si>
    <t xml:space="preserve">Посты от мам-блогеров (UGC), «отправьте подруге», юмор про родителей</t>
  </si>
  <si>
    <t xml:space="preserve">PlayToday</t>
  </si>
  <si>
    <t xml:space="preserve">https://www.instagram.com/playtoday_official/</t>
  </si>
  <si>
    <t xml:space="preserve">Дети 0–16, магазины</t>
  </si>
  <si>
    <t xml:space="preserve">Гиды «как выбрать…», экспертный тон</t>
  </si>
  <si>
    <t xml:space="preserve">Ohra Kids</t>
  </si>
  <si>
    <t xml:space="preserve">https://www.instagram.com/ohrakids/</t>
  </si>
  <si>
    <t xml:space="preserve">Девочки, WB + Lamoda</t>
  </si>
  <si>
    <t xml:space="preserve">Артикулы WB прямо в подписи, розыгрыши с партнёрами</t>
  </si>
  <si>
    <t xml:space="preserve">Batik</t>
  </si>
  <si>
    <t xml:space="preserve">https://www.instagram.com/tdbatik/</t>
  </si>
  <si>
    <t xml:space="preserve">Дети, Урал, свой сайт</t>
  </si>
  <si>
    <t xml:space="preserve">Почти только Reels, family look, короткие подписи</t>
  </si>
  <si>
    <t xml:space="preserve">Ramelka</t>
  </si>
  <si>
    <t xml:space="preserve">https://www.instagram.com/ramelka_baby/</t>
  </si>
  <si>
    <t xml:space="preserve">Дети 0–12, WB, своё производство</t>
  </si>
  <si>
    <t xml:space="preserve">Показ производства, артикулы WB хэштегами</t>
  </si>
  <si>
    <t xml:space="preserve">Oziti kids</t>
  </si>
  <si>
    <t xml:space="preserve">https://www.instagram.com/ozitikids/</t>
  </si>
  <si>
    <t xml:space="preserve">Дети 104–146, WB</t>
  </si>
  <si>
    <t xml:space="preserve">Голосования «1, 2 или 3?» в комментариях, 3 образа из одной вещи</t>
  </si>
  <si>
    <t xml:space="preserve">Источник: открытые профили Instagram, просмотр 02.10.2026. Хэштеги: 7 из 10 брендов не используют их совсем, остальные — 0–5 на пост или артикулы WB.</t>
  </si>
  <si>
    <t xml:space="preserve">Тип</t>
  </si>
  <si>
    <t xml:space="preserve">Фраза / хэштег</t>
  </si>
  <si>
    <t xml:space="preserve">Где встречается</t>
  </si>
  <si>
    <t xml:space="preserve">Используем в Ivbaby</t>
  </si>
  <si>
    <t xml:space="preserve">Крючок (1-я строка)</t>
  </si>
  <si>
    <t xml:space="preserve">Похолодало? / Заметно похолодало 🍂</t>
  </si>
  <si>
    <t xml:space="preserve">Да</t>
  </si>
  <si>
    <t xml:space="preserve">Тот самый костюм, который…</t>
  </si>
  <si>
    <t xml:space="preserve">Mjölk, Rudiks</t>
  </si>
  <si>
    <t xml:space="preserve">Как выбрать … и не ошибиться?</t>
  </si>
  <si>
    <t xml:space="preserve">PlayToday, Mjölk</t>
  </si>
  <si>
    <t xml:space="preserve">Какой цвет выберет ваш ребёнок?</t>
  </si>
  <si>
    <t xml:space="preserve">Oziti kids, Rudiks</t>
  </si>
  <si>
    <t xml:space="preserve">Школьные брюки, в которых не мёрзнут</t>
  </si>
  <si>
    <t xml:space="preserve">Призыв к действию</t>
  </si>
  <si>
    <t xml:space="preserve">Пишите в комментариях 1, 2 или 3 👇</t>
  </si>
  <si>
    <t xml:space="preserve">Oziti kids, Acoola</t>
  </si>
  <si>
    <t xml:space="preserve">Сохраняйте, чтобы не потерять 📌</t>
  </si>
  <si>
    <t xml:space="preserve">Mjölk, Rudiks, Моделька</t>
  </si>
  <si>
    <t xml:space="preserve">Отправьте подруге / сыну</t>
  </si>
  <si>
    <t xml:space="preserve">Делитесь своими лайфхаками в комментариях</t>
  </si>
  <si>
    <t xml:space="preserve">Mjölk, Gulliver</t>
  </si>
  <si>
    <t xml:space="preserve">План</t>
  </si>
  <si>
    <t xml:space="preserve">Позиционирование</t>
  </si>
  <si>
    <t xml:space="preserve">Российский производитель детской одежды</t>
  </si>
  <si>
    <t xml:space="preserve">Rudiks, Ramelka</t>
  </si>
  <si>
    <t xml:space="preserve">Модная / современная / стильная одежда для детей</t>
  </si>
  <si>
    <t xml:space="preserve">Gulliver, O'STIN kids</t>
  </si>
  <si>
    <t xml:space="preserve">Для детей. С любовью. На каждый день.</t>
  </si>
  <si>
    <t xml:space="preserve">Нет</t>
  </si>
  <si>
    <t xml:space="preserve">Рубрика</t>
  </si>
  <si>
    <t xml:space="preserve">Шпаргалка: размер, слои по погоде, уход</t>
  </si>
  <si>
    <t xml:space="preserve">Mjölk, PlayToday</t>
  </si>
  <si>
    <t xml:space="preserve">Производство / качество в деталях</t>
  </si>
  <si>
    <t xml:space="preserve">Ramelka, Ivbaby (архив)</t>
  </si>
  <si>
    <t xml:space="preserve">Family look / парные образы</t>
  </si>
  <si>
    <t xml:space="preserve">Batik, Mjölk</t>
  </si>
  <si>
    <t xml:space="preserve">Отзывы и посты мам-блогеров</t>
  </si>
  <si>
    <t xml:space="preserve">Розыгрыш с партнёром</t>
  </si>
  <si>
    <t xml:space="preserve">Хэштег (бренд)</t>
  </si>
  <si>
    <t xml:space="preserve">#ivbaby #ивбэби</t>
  </si>
  <si>
    <t xml:space="preserve">—</t>
  </si>
  <si>
    <t xml:space="preserve">Хэштег (тема)</t>
  </si>
  <si>
    <t xml:space="preserve">#детскаяодежда</t>
  </si>
  <si>
    <t xml:space="preserve">Моделька, Ivbaby</t>
  </si>
  <si>
    <t xml:space="preserve">#костюмдлядевочки #костюмдлямальчика</t>
  </si>
  <si>
    <t xml:space="preserve">#костюмсначесом #теплыйкостюм #флисовыйкостюм</t>
  </si>
  <si>
    <t xml:space="preserve">#брюкипалаццо #школьнаяформа #одеждадляшколы</t>
  </si>
  <si>
    <t xml:space="preserve">Хэштег (маркетплейс)</t>
  </si>
  <si>
    <t xml:space="preserve">#wildberries #ozon + #&lt;артикул WB&gt;</t>
  </si>
  <si>
    <t xml:space="preserve">Ramelka, Oziti kids, Ohra Kids</t>
  </si>
  <si>
    <t xml:space="preserve">Поисковая фраза (имя профиля)</t>
  </si>
  <si>
    <t xml:space="preserve">Ivbaby | Детская одежда</t>
  </si>
  <si>
    <t xml:space="preserve">Batik, Ramelka, Oziti kids («Детская одежда | …»)</t>
  </si>
  <si>
    <t xml:space="preserve">16.10</t>
  </si>
  <si>
    <t xml:space="preserve">ID в плане</t>
  </si>
  <si>
    <t xml:space="preserve">Товар</t>
  </si>
  <si>
    <t xml:space="preserve">Арт. WB</t>
  </si>
  <si>
    <t xml:space="preserve">Арт. Ozon</t>
  </si>
  <si>
    <t xml:space="preserve">Охват</t>
  </si>
  <si>
    <t xml:space="preserve">Просмотры</t>
  </si>
  <si>
    <t xml:space="preserve">Лайки</t>
  </si>
  <si>
    <t xml:space="preserve">Комментарии</t>
  </si>
  <si>
    <t xml:space="preserve">Сохранения</t>
  </si>
  <si>
    <t xml:space="preserve">Репосты</t>
  </si>
  <si>
    <t xml:space="preserve">Вовлечённость, %</t>
  </si>
  <si>
    <t xml:space="preserve">Обновлено</t>
  </si>
  <si>
    <t xml:space="preserve">p01</t>
  </si>
  <si>
    <t xml:space="preserve">Хит продаж: тёплый костюм для девочки</t>
  </si>
  <si>
    <t xml:space="preserve">https://www.instagram.com/p/DeACb-NoFH1/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</si>
</sst>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\+#,##0;\-#,##0;0"/>
    <numFmt numFmtId="167" formatCode="0.0%;\-0.0%;0.0%"/>
    <numFmt numFmtId="168" formatCode="dd\.mm\.yyyy"/>
    <numFmt numFmtId="169" formatCode="0.00%"/>
    <numFmt numFmtId="170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sz val="10"/>
      <name val="Arial"/>
      <family val="2"/>
    </font>
    <font>
      <u val="single"/>
      <sz val="11"/>
      <color rgb="FF0563C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name val="Arial"/>
      <family val="0"/>
      <charset val="1"/>
    </font>
    <font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Подписчики @ivbaby_official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Динамика!B1</c:f>
              <c:strCache>
                <c:ptCount val="1"/>
                <c:pt idx="0">
                  <c:v>@ivbaby_official</c:v>
                </c:pt>
              </c:strCache>
            </c:strRef>
          </c:tx>
          <c:spPr>
            <a:solidFill>
              <a:srgbClr val="1f3864"/>
            </a:solidFill>
            <a:ln w="28440">
              <a:solidFill>
                <a:srgbClr val="1f3864"/>
              </a:solidFill>
              <a:round/>
            </a:ln>
          </c:spPr>
          <c:marker>
            <c:symbol val="circle"/>
            <c:size val="7"/>
            <c:spPr>
              <a:solidFill>
                <a:srgbClr val="1f386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Динамика!$A$2</c:f>
              <c:strCache>
                <c:ptCount val="1"/>
                <c:pt idx="0">
                  <c:v>02.10.2026</c:v>
                </c:pt>
              </c:strCache>
            </c:strRef>
          </c:cat>
          <c:val>
            <c:numRef>
              <c:f>Динамика!$B$2</c:f>
              <c:numCache>
                <c:formatCode>#,##0</c:formatCode>
                <c:ptCount val="1"/>
                <c:pt idx="0">
                  <c:v>3227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89984"/>
        <c:axId val="1688108"/>
      </c:lineChart>
      <c:catAx>
        <c:axId val="4689984"/>
        <c:scaling>
          <c:orientation val="minMax"/>
        </c:scaling>
        <c:delete val="0"/>
        <c:axPos val="b"/>
        <c:numFmt formatCode="dd\.mm\.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88108"/>
        <c:crosses val="autoZero"/>
        <c:auto val="1"/>
        <c:lblAlgn val="ctr"/>
        <c:lblOffset val="100"/>
        <c:noMultiLvlLbl val="0"/>
      </c:catAx>
      <c:valAx>
        <c:axId val="16881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Подписчики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99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Подписчики: Ivbaby и конкуренты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Сводка!B4</c:f>
              <c:strCache>
                <c:ptCount val="1"/>
                <c:pt idx="0">
                  <c:v>Подписчики сейчас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Сводка!$A$5:$A$15</c:f>
              <c:strCache>
                <c:ptCount val="11"/>
                <c:pt idx="0">
                  <c:v>@ivbaby_official</c:v>
                </c:pt>
                <c:pt idx="1">
                  <c:v>@mjolk.ru</c:v>
                </c:pt>
                <c:pt idx="2">
                  <c:v>@acoolakids</c:v>
                </c:pt>
                <c:pt idx="3">
                  <c:v>@gulliver_wear</c:v>
                </c:pt>
                <c:pt idx="4">
                  <c:v>@ostinkids</c:v>
                </c:pt>
                <c:pt idx="5">
                  <c:v>@rudiks.ru</c:v>
                </c:pt>
                <c:pt idx="6">
                  <c:v>@playtoday_official</c:v>
                </c:pt>
                <c:pt idx="7">
                  <c:v>@ohrakids</c:v>
                </c:pt>
                <c:pt idx="8">
                  <c:v>@tdbatik</c:v>
                </c:pt>
                <c:pt idx="9">
                  <c:v>@ramelka_baby</c:v>
                </c:pt>
                <c:pt idx="10">
                  <c:v>@ozitikids</c:v>
                </c:pt>
              </c:strCache>
            </c:strRef>
          </c:cat>
          <c:val>
            <c:numRef>
              <c:f>Сводка!$B$5:$B$15</c:f>
              <c:numCache>
                <c:formatCode>#,##0</c:formatCode>
                <c:ptCount val="11"/>
                <c:pt idx="0">
                  <c:v>3227</c:v>
                </c:pt>
                <c:pt idx="1">
                  <c:v>262000</c:v>
                </c:pt>
                <c:pt idx="2">
                  <c:v>206000</c:v>
                </c:pt>
                <c:pt idx="3">
                  <c:v>105000</c:v>
                </c:pt>
                <c:pt idx="4">
                  <c:v>86500</c:v>
                </c:pt>
                <c:pt idx="5">
                  <c:v>81000</c:v>
                </c:pt>
                <c:pt idx="6">
                  <c:v>46700</c:v>
                </c:pt>
                <c:pt idx="7">
                  <c:v>19900</c:v>
                </c:pt>
                <c:pt idx="8">
                  <c:v>17400</c:v>
                </c:pt>
                <c:pt idx="9">
                  <c:v>5041</c:v>
                </c:pt>
                <c:pt idx="10">
                  <c:v>1100</c:v>
                </c:pt>
              </c:numCache>
            </c:numRef>
          </c:val>
        </c:ser>
        <c:gapWidth val="150"/>
        <c:overlap val="0"/>
        <c:axId val="50624930"/>
        <c:axId val="2363626"/>
      </c:barChart>
      <c:catAx>
        <c:axId val="506249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63626"/>
        <c:crosses val="autoZero"/>
        <c:auto val="1"/>
        <c:lblAlgn val="ctr"/>
        <c:lblOffset val="100"/>
        <c:noMultiLvlLbl val="0"/>
      </c:catAx>
      <c:valAx>
        <c:axId val="23636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249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Охват наших постов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'Наши посты'!G1</c:f>
              <c:strCache>
                <c:ptCount val="1"/>
                <c:pt idx="0">
                  <c:v>Охват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'Наши посты'!$B$2</c:f>
              <c:strCache>
                <c:ptCount val="1"/>
                <c:pt idx="0">
                  <c:v>p01</c:v>
                </c:pt>
              </c:strCache>
            </c:strRef>
          </c:cat>
          <c:val>
            <c:numRef>
              <c:f>'Наши посты'!$G$2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</c:ser>
        <c:gapWidth val="150"/>
        <c:overlap val="0"/>
        <c:axId val="75208989"/>
        <c:axId val="60768178"/>
      </c:barChart>
      <c:catAx>
        <c:axId val="752089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68178"/>
        <c:crosses val="autoZero"/>
        <c:auto val="1"/>
        <c:lblAlgn val="ctr"/>
        <c:lblOffset val="100"/>
        <c:noMultiLvlLbl val="0"/>
      </c:catAx>
      <c:valAx>
        <c:axId val="607681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Аккаунтов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089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10080</xdr:rowOff>
    </xdr:from>
    <xdr:to>
      <xdr:col>5</xdr:col>
      <xdr:colOff>276840</xdr:colOff>
      <xdr:row>32</xdr:row>
      <xdr:rowOff>32040</xdr:rowOff>
    </xdr:to>
    <xdr:graphicFrame>
      <xdr:nvGraphicFramePr>
        <xdr:cNvPr id="0" name="Chart 1"/>
        <xdr:cNvGraphicFramePr/>
      </xdr:nvGraphicFramePr>
      <xdr:xfrm>
        <a:off x="0" y="3809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34</xdr:row>
      <xdr:rowOff>10080</xdr:rowOff>
    </xdr:from>
    <xdr:to>
      <xdr:col>5</xdr:col>
      <xdr:colOff>276840</xdr:colOff>
      <xdr:row>51</xdr:row>
      <xdr:rowOff>11160</xdr:rowOff>
    </xdr:to>
    <xdr:graphicFrame>
      <xdr:nvGraphicFramePr>
        <xdr:cNvPr id="1" name="Chart 2"/>
        <xdr:cNvGraphicFramePr/>
      </xdr:nvGraphicFramePr>
      <xdr:xfrm>
        <a:off x="0" y="70484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</xdr:row>
      <xdr:rowOff>160560</xdr:rowOff>
    </xdr:from>
    <xdr:to>
      <xdr:col>17</xdr:col>
      <xdr:colOff>256320</xdr:colOff>
      <xdr:row>17</xdr:row>
      <xdr:rowOff>32400</xdr:rowOff>
    </xdr:to>
    <xdr:graphicFrame>
      <xdr:nvGraphicFramePr>
        <xdr:cNvPr id="2" name="Chart 3"/>
        <xdr:cNvGraphicFramePr/>
      </xdr:nvGraphicFramePr>
      <xdr:xfrm>
        <a:off x="8999280" y="95256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instagram.com/mjolk.ru/" TargetMode="External"/><Relationship Id="rId2" Type="http://schemas.openxmlformats.org/officeDocument/2006/relationships/hyperlink" Target="https://www.instagram.com/acoolakids/" TargetMode="External"/><Relationship Id="rId3" Type="http://schemas.openxmlformats.org/officeDocument/2006/relationships/hyperlink" Target="https://www.instagram.com/gulliver_wear/" TargetMode="External"/><Relationship Id="rId4" Type="http://schemas.openxmlformats.org/officeDocument/2006/relationships/hyperlink" Target="https://www.instagram.com/ostinkids/" TargetMode="External"/><Relationship Id="rId5" Type="http://schemas.openxmlformats.org/officeDocument/2006/relationships/hyperlink" Target="https://www.instagram.com/rudiks.ru/" TargetMode="External"/><Relationship Id="rId6" Type="http://schemas.openxmlformats.org/officeDocument/2006/relationships/hyperlink" Target="https://www.instagram.com/playtoday_official/" TargetMode="External"/><Relationship Id="rId7" Type="http://schemas.openxmlformats.org/officeDocument/2006/relationships/hyperlink" Target="https://www.instagram.com/ohrakids/" TargetMode="External"/><Relationship Id="rId8" Type="http://schemas.openxmlformats.org/officeDocument/2006/relationships/hyperlink" Target="https://www.instagram.com/tdbatik/" TargetMode="External"/><Relationship Id="rId9" Type="http://schemas.openxmlformats.org/officeDocument/2006/relationships/hyperlink" Target="https://www.instagram.com/ramelka_baby/" TargetMode="External"/><Relationship Id="rId10" Type="http://schemas.openxmlformats.org/officeDocument/2006/relationships/hyperlink" Target="https://www.instagram.com/ozitikids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nstagram.com/p/DeACb-NoFH1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7"/>
    <col collapsed="false" customWidth="true" hidden="false" outlineLevel="0" max="5" min="4" style="0" width="12"/>
    <col collapsed="false" customWidth="true" hidden="false" outlineLevel="0" max="6" min="6" style="0" width="16"/>
    <col collapsed="false" customWidth="true" hidden="false" outlineLevel="0" max="7" min="7" style="0" width="15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</row>
    <row r="2" customFormat="false" ht="4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26.8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false" outlineLevel="0" collapsed="false">
      <c r="A5" s="5" t="s">
        <v>9</v>
      </c>
      <c r="B5" s="6" t="n">
        <f aca="false">IFERROR(INDEX(Динамика!$B$2:$B$400,SUMPRODUCT(LARGE((Динамика!$B$2:$B$400&lt;&gt;"")*(ROW(Динамика!$B$2:$B$400)-1),1))),"")</f>
        <v>3227</v>
      </c>
      <c r="C5" s="6" t="str">
        <f aca="false"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7" t="str">
        <f aca="false">IF(AND(ISNUMBER(B5),ISNUMBER(C5)),B5-C5,"")</f>
        <v/>
      </c>
      <c r="E5" s="8" t="str">
        <f aca="false">IF(AND(ISNUMBER(D5),C5&gt;0),D5/C5,"")</f>
        <v/>
      </c>
      <c r="F5" s="6" t="n">
        <v>227</v>
      </c>
      <c r="G5" s="9" t="n">
        <f aca="false">IFERROR(INDEX(Динамика!$A$2:$A$400,SUMPRODUCT(LARGE((Динамика!$B$2:$B$400&lt;&gt;"")*(ROW(Динамика!$B$2:$B$400)-1),1))),"")</f>
        <v>46297</v>
      </c>
    </row>
    <row r="6" customFormat="false" ht="15" hidden="false" customHeight="false" outlineLevel="0" collapsed="false">
      <c r="A6" s="10" t="s">
        <v>10</v>
      </c>
      <c r="B6" s="6" t="n">
        <f aca="false">IFERROR(INDEX(Динамика!$C$2:$C$400,SUMPRODUCT(LARGE((Динамика!$C$2:$C$400&lt;&gt;"")*(ROW(Динамика!$C$2:$C$400)-1),1))),"")</f>
        <v>262000</v>
      </c>
      <c r="C6" s="6" t="str">
        <f aca="false"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7" t="str">
        <f aca="false">IF(AND(ISNUMBER(B6),ISNUMBER(C6)),B6-C6,"")</f>
        <v/>
      </c>
      <c r="E6" s="8" t="str">
        <f aca="false">IF(AND(ISNUMBER(D6),C6&gt;0),D6/C6,"")</f>
        <v/>
      </c>
      <c r="F6" s="6" t="n">
        <v>5407</v>
      </c>
      <c r="G6" s="9" t="n">
        <f aca="false">IFERROR(INDEX(Динамика!$A$2:$A$400,SUMPRODUCT(LARGE((Динамика!$C$2:$C$400&lt;&gt;"")*(ROW(Динамика!$C$2:$C$400)-1),1))),"")</f>
        <v>46297</v>
      </c>
    </row>
    <row r="7" customFormat="false" ht="15" hidden="false" customHeight="false" outlineLevel="0" collapsed="false">
      <c r="A7" s="10" t="s">
        <v>11</v>
      </c>
      <c r="B7" s="6" t="n">
        <f aca="false">IFERROR(INDEX(Динамика!$D$2:$D$400,SUMPRODUCT(LARGE((Динамика!$D$2:$D$400&lt;&gt;"")*(ROW(Динамика!$D$2:$D$400)-1),1))),"")</f>
        <v>206000</v>
      </c>
      <c r="C7" s="6" t="str">
        <f aca="false"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7" t="str">
        <f aca="false">IF(AND(ISNUMBER(B7),ISNUMBER(C7)),B7-C7,"")</f>
        <v/>
      </c>
      <c r="E7" s="8" t="str">
        <f aca="false">IF(AND(ISNUMBER(D7),C7&gt;0),D7/C7,"")</f>
        <v/>
      </c>
      <c r="F7" s="6" t="n">
        <v>322</v>
      </c>
      <c r="G7" s="9" t="n">
        <f aca="false">IFERROR(INDEX(Динамика!$A$2:$A$400,SUMPRODUCT(LARGE((Динамика!$D$2:$D$400&lt;&gt;"")*(ROW(Динамика!$D$2:$D$400)-1),1))),"")</f>
        <v>46297</v>
      </c>
    </row>
    <row r="8" customFormat="false" ht="15" hidden="false" customHeight="false" outlineLevel="0" collapsed="false">
      <c r="A8" s="10" t="s">
        <v>12</v>
      </c>
      <c r="B8" s="6" t="n">
        <f aca="false">IFERROR(INDEX(Динамика!$E$2:$E$400,SUMPRODUCT(LARGE((Динамика!$E$2:$E$400&lt;&gt;"")*(ROW(Динамика!$E$2:$E$400)-1),1))),"")</f>
        <v>105000</v>
      </c>
      <c r="C8" s="6" t="str">
        <f aca="false"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7" t="str">
        <f aca="false">IF(AND(ISNUMBER(B8),ISNUMBER(C8)),B8-C8,"")</f>
        <v/>
      </c>
      <c r="E8" s="8" t="str">
        <f aca="false">IF(AND(ISNUMBER(D8),C8&gt;0),D8/C8,"")</f>
        <v/>
      </c>
      <c r="F8" s="6" t="n">
        <v>5296</v>
      </c>
      <c r="G8" s="9" t="n">
        <f aca="false">IFERROR(INDEX(Динамика!$A$2:$A$400,SUMPRODUCT(LARGE((Динамика!$E$2:$E$400&lt;&gt;"")*(ROW(Динамика!$E$2:$E$400)-1),1))),"")</f>
        <v>46297</v>
      </c>
    </row>
    <row r="9" customFormat="false" ht="15" hidden="false" customHeight="false" outlineLevel="0" collapsed="false">
      <c r="A9" s="10" t="s">
        <v>13</v>
      </c>
      <c r="B9" s="6" t="n">
        <f aca="false">IFERROR(INDEX(Динамика!$F$2:$F$400,SUMPRODUCT(LARGE((Динамика!$F$2:$F$400&lt;&gt;"")*(ROW(Динамика!$F$2:$F$400)-1),1))),"")</f>
        <v>86500</v>
      </c>
      <c r="C9" s="6" t="str">
        <f aca="false"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7" t="str">
        <f aca="false">IF(AND(ISNUMBER(B9),ISNUMBER(C9)),B9-C9,"")</f>
        <v/>
      </c>
      <c r="E9" s="8" t="str">
        <f aca="false">IF(AND(ISNUMBER(D9),C9&gt;0),D9/C9,"")</f>
        <v/>
      </c>
      <c r="F9" s="6" t="n">
        <v>1862</v>
      </c>
      <c r="G9" s="9" t="n">
        <f aca="false">IFERROR(INDEX(Динамика!$A$2:$A$400,SUMPRODUCT(LARGE((Динамика!$F$2:$F$400&lt;&gt;"")*(ROW(Динамика!$F$2:$F$400)-1),1))),"")</f>
        <v>46297</v>
      </c>
    </row>
    <row r="10" customFormat="false" ht="15" hidden="false" customHeight="false" outlineLevel="0" collapsed="false">
      <c r="A10" s="10" t="s">
        <v>14</v>
      </c>
      <c r="B10" s="6" t="n">
        <f aca="false">IFERROR(INDEX(Динамика!$G$2:$G$400,SUMPRODUCT(LARGE((Динамика!$G$2:$G$400&lt;&gt;"")*(ROW(Динамика!$G$2:$G$400)-1),1))),"")</f>
        <v>81000</v>
      </c>
      <c r="C10" s="6" t="str">
        <f aca="false"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7" t="str">
        <f aca="false">IF(AND(ISNUMBER(B10),ISNUMBER(C10)),B10-C10,"")</f>
        <v/>
      </c>
      <c r="E10" s="8" t="str">
        <f aca="false">IF(AND(ISNUMBER(D10),C10&gt;0),D10/C10,"")</f>
        <v/>
      </c>
      <c r="F10" s="6" t="n">
        <v>1656</v>
      </c>
      <c r="G10" s="9" t="n">
        <f aca="false">IFERROR(INDEX(Динамика!$A$2:$A$400,SUMPRODUCT(LARGE((Динамика!$G$2:$G$400&lt;&gt;"")*(ROW(Динамика!$G$2:$G$400)-1),1))),"")</f>
        <v>46297</v>
      </c>
    </row>
    <row r="11" customFormat="false" ht="15" hidden="false" customHeight="false" outlineLevel="0" collapsed="false">
      <c r="A11" s="10" t="s">
        <v>15</v>
      </c>
      <c r="B11" s="6" t="n">
        <f aca="false">IFERROR(INDEX(Динамика!$H$2:$H$400,SUMPRODUCT(LARGE((Динамика!$H$2:$H$400&lt;&gt;"")*(ROW(Динамика!$H$2:$H$400)-1),1))),"")</f>
        <v>46700</v>
      </c>
      <c r="C11" s="6" t="str">
        <f aca="false"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7" t="str">
        <f aca="false">IF(AND(ISNUMBER(B11),ISNUMBER(C11)),B11-C11,"")</f>
        <v/>
      </c>
      <c r="E11" s="8" t="str">
        <f aca="false">IF(AND(ISNUMBER(D11),C11&gt;0),D11/C11,"")</f>
        <v/>
      </c>
      <c r="F11" s="6" t="n">
        <v>2383</v>
      </c>
      <c r="G11" s="9" t="n">
        <f aca="false">IFERROR(INDEX(Динамика!$A$2:$A$400,SUMPRODUCT(LARGE((Динамика!$H$2:$H$400&lt;&gt;"")*(ROW(Динамика!$H$2:$H$400)-1),1))),"")</f>
        <v>46297</v>
      </c>
    </row>
    <row r="12" customFormat="false" ht="15" hidden="false" customHeight="false" outlineLevel="0" collapsed="false">
      <c r="A12" s="10" t="s">
        <v>16</v>
      </c>
      <c r="B12" s="6" t="n">
        <f aca="false">IFERROR(INDEX(Динамика!$I$2:$I$400,SUMPRODUCT(LARGE((Динамика!$I$2:$I$400&lt;&gt;"")*(ROW(Динамика!$I$2:$I$400)-1),1))),"")</f>
        <v>19900</v>
      </c>
      <c r="C12" s="6" t="str">
        <f aca="false"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7" t="str">
        <f aca="false">IF(AND(ISNUMBER(B12),ISNUMBER(C12)),B12-C12,"")</f>
        <v/>
      </c>
      <c r="E12" s="8" t="str">
        <f aca="false">IF(AND(ISNUMBER(D12),C12&gt;0),D12/C12,"")</f>
        <v/>
      </c>
      <c r="F12" s="6" t="n">
        <v>330</v>
      </c>
      <c r="G12" s="9" t="n">
        <f aca="false">IFERROR(INDEX(Динамика!$A$2:$A$400,SUMPRODUCT(LARGE((Динамика!$I$2:$I$400&lt;&gt;"")*(ROW(Динамика!$I$2:$I$400)-1),1))),"")</f>
        <v>46297</v>
      </c>
    </row>
    <row r="13" customFormat="false" ht="15" hidden="false" customHeight="false" outlineLevel="0" collapsed="false">
      <c r="A13" s="10" t="s">
        <v>17</v>
      </c>
      <c r="B13" s="6" t="n">
        <f aca="false">IFERROR(INDEX(Динамика!$J$2:$J$400,SUMPRODUCT(LARGE((Динамика!$J$2:$J$400&lt;&gt;"")*(ROW(Динамика!$J$2:$J$400)-1),1))),"")</f>
        <v>17400</v>
      </c>
      <c r="C13" s="6" t="str">
        <f aca="false"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7" t="str">
        <f aca="false">IF(AND(ISNUMBER(B13),ISNUMBER(C13)),B13-C13,"")</f>
        <v/>
      </c>
      <c r="E13" s="8" t="str">
        <f aca="false">IF(AND(ISNUMBER(D13),C13&gt;0),D13/C13,"")</f>
        <v/>
      </c>
      <c r="F13" s="6" t="n">
        <v>1856</v>
      </c>
      <c r="G13" s="9" t="n">
        <f aca="false">IFERROR(INDEX(Динамика!$A$2:$A$400,SUMPRODUCT(LARGE((Динамика!$J$2:$J$400&lt;&gt;"")*(ROW(Динамика!$J$2:$J$400)-1),1))),"")</f>
        <v>46297</v>
      </c>
    </row>
    <row r="14" customFormat="false" ht="15" hidden="false" customHeight="false" outlineLevel="0" collapsed="false">
      <c r="A14" s="10" t="s">
        <v>18</v>
      </c>
      <c r="B14" s="6" t="n">
        <f aca="false">IFERROR(INDEX(Динамика!$K$2:$K$400,SUMPRODUCT(LARGE((Динамика!$K$2:$K$400&lt;&gt;"")*(ROW(Динамика!$K$2:$K$400)-1),1))),"")</f>
        <v>5041</v>
      </c>
      <c r="C14" s="6" t="str">
        <f aca="false"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7" t="str">
        <f aca="false">IF(AND(ISNUMBER(B14),ISNUMBER(C14)),B14-C14,"")</f>
        <v/>
      </c>
      <c r="E14" s="8" t="str">
        <f aca="false">IF(AND(ISNUMBER(D14),C14&gt;0),D14/C14,"")</f>
        <v/>
      </c>
      <c r="F14" s="6" t="n">
        <v>636</v>
      </c>
      <c r="G14" s="9" t="n">
        <f aca="false">IFERROR(INDEX(Динамика!$A$2:$A$400,SUMPRODUCT(LARGE((Динамика!$K$2:$K$400&lt;&gt;"")*(ROW(Динамика!$K$2:$K$400)-1),1))),"")</f>
        <v>46297</v>
      </c>
    </row>
    <row r="15" customFormat="false" ht="15" hidden="false" customHeight="false" outlineLevel="0" collapsed="false">
      <c r="A15" s="10" t="s">
        <v>19</v>
      </c>
      <c r="B15" s="6" t="n">
        <f aca="false">IFERROR(INDEX(Динамика!$L$2:$L$400,SUMPRODUCT(LARGE((Динамика!$L$2:$L$400&lt;&gt;"")*(ROW(Динамика!$L$2:$L$400)-1),1))),"")</f>
        <v>1100</v>
      </c>
      <c r="C15" s="6" t="str">
        <f aca="false"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7" t="str">
        <f aca="false">IF(AND(ISNUMBER(B15),ISNUMBER(C15)),B15-C15,"")</f>
        <v/>
      </c>
      <c r="E15" s="8" t="str">
        <f aca="false">IF(AND(ISNUMBER(D15),C15&gt;0),D15/C15,"")</f>
        <v/>
      </c>
      <c r="F15" s="6" t="n">
        <v>89</v>
      </c>
      <c r="G15" s="9" t="n">
        <f aca="false">IFERROR(INDEX(Динамика!$A$2:$A$400,SUMPRODUCT(LARGE((Динамика!$L$2:$L$400&lt;&gt;"")*(ROW(Динамика!$L$2:$L$400)-1),1))),"")</f>
        <v>46297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</row>
    <row r="17" customFormat="false" ht="15" hidden="false" customHeight="false" outlineLevel="0" collapsed="false">
      <c r="A17" s="11" t="s">
        <v>20</v>
      </c>
      <c r="B17" s="12" t="n">
        <f aca="false">IFERROR(B5/MAX(B6:B15),"")</f>
        <v>0.0123167938931298</v>
      </c>
      <c r="C17" s="2"/>
      <c r="D17" s="2"/>
      <c r="E17" s="2"/>
      <c r="F17" s="2"/>
      <c r="G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4"/>
  </cols>
  <sheetData>
    <row r="1" customFormat="false" ht="26.85" hidden="false" customHeight="false" outlineLevel="0" collapsed="false">
      <c r="A1" s="4" t="s">
        <v>21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  <c r="K1" s="4" t="s">
        <v>18</v>
      </c>
      <c r="L1" s="4" t="s">
        <v>19</v>
      </c>
    </row>
    <row r="2" customFormat="false" ht="15" hidden="false" customHeight="false" outlineLevel="0" collapsed="false">
      <c r="A2" s="13" t="n">
        <v>46297</v>
      </c>
      <c r="B2" s="14" t="n">
        <v>3227</v>
      </c>
      <c r="C2" s="14" t="n">
        <v>262000</v>
      </c>
      <c r="D2" s="14" t="n">
        <v>206000</v>
      </c>
      <c r="E2" s="14" t="n">
        <v>105000</v>
      </c>
      <c r="F2" s="14" t="n">
        <v>86500</v>
      </c>
      <c r="G2" s="14" t="n">
        <v>81000</v>
      </c>
      <c r="H2" s="14" t="n">
        <v>46700</v>
      </c>
      <c r="I2" s="14" t="n">
        <v>19900</v>
      </c>
      <c r="J2" s="14" t="n">
        <v>17400</v>
      </c>
      <c r="K2" s="14" t="n">
        <v>5041</v>
      </c>
      <c r="L2" s="14" t="n">
        <v>1100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36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8"/>
    <col collapsed="false" customWidth="true" hidden="false" outlineLevel="0" max="8" min="8" style="0" width="60"/>
  </cols>
  <sheetData>
    <row r="1" customFormat="false" ht="39.55" hidden="false" customHeight="false" outlineLevel="0" collapsed="false">
      <c r="A1" s="4" t="s">
        <v>22</v>
      </c>
      <c r="B1" s="4" t="s">
        <v>23</v>
      </c>
      <c r="C1" s="4" t="s">
        <v>2</v>
      </c>
      <c r="D1" s="4" t="s">
        <v>24</v>
      </c>
      <c r="E1" s="4" t="s">
        <v>25</v>
      </c>
      <c r="F1" s="4" t="s">
        <v>7</v>
      </c>
      <c r="G1" s="4" t="s">
        <v>26</v>
      </c>
      <c r="H1" s="4" t="s">
        <v>27</v>
      </c>
    </row>
    <row r="2" customFormat="false" ht="26.85" hidden="false" customHeight="false" outlineLevel="0" collapsed="false">
      <c r="A2" s="15" t="n">
        <v>1</v>
      </c>
      <c r="B2" s="15" t="s">
        <v>28</v>
      </c>
      <c r="C2" s="15" t="s">
        <v>10</v>
      </c>
      <c r="D2" s="16" t="s">
        <v>29</v>
      </c>
      <c r="E2" s="17" t="n">
        <f aca="false">Сводка!B6</f>
        <v>262000</v>
      </c>
      <c r="F2" s="18" t="n">
        <v>5407</v>
      </c>
      <c r="G2" s="15" t="s">
        <v>30</v>
      </c>
      <c r="H2" s="15" t="s">
        <v>31</v>
      </c>
    </row>
    <row r="3" customFormat="false" ht="15" hidden="false" customHeight="false" outlineLevel="0" collapsed="false">
      <c r="A3" s="15" t="n">
        <v>2</v>
      </c>
      <c r="B3" s="15" t="s">
        <v>32</v>
      </c>
      <c r="C3" s="15" t="s">
        <v>11</v>
      </c>
      <c r="D3" s="16" t="s">
        <v>33</v>
      </c>
      <c r="E3" s="17" t="n">
        <f aca="false">Сводка!B7</f>
        <v>206000</v>
      </c>
      <c r="F3" s="18" t="n">
        <v>322</v>
      </c>
      <c r="G3" s="15" t="s">
        <v>34</v>
      </c>
      <c r="H3" s="15" t="s">
        <v>35</v>
      </c>
    </row>
    <row r="4" customFormat="false" ht="15" hidden="false" customHeight="false" outlineLevel="0" collapsed="false">
      <c r="A4" s="15" t="n">
        <v>3</v>
      </c>
      <c r="B4" s="15" t="s">
        <v>36</v>
      </c>
      <c r="C4" s="15" t="s">
        <v>12</v>
      </c>
      <c r="D4" s="16" t="s">
        <v>37</v>
      </c>
      <c r="E4" s="17" t="n">
        <f aca="false">Сводка!B8</f>
        <v>105000</v>
      </c>
      <c r="F4" s="18" t="n">
        <v>5296</v>
      </c>
      <c r="G4" s="15" t="s">
        <v>38</v>
      </c>
      <c r="H4" s="15" t="s">
        <v>39</v>
      </c>
    </row>
    <row r="5" customFormat="false" ht="15" hidden="false" customHeight="false" outlineLevel="0" collapsed="false">
      <c r="A5" s="15" t="n">
        <v>4</v>
      </c>
      <c r="B5" s="15" t="s">
        <v>40</v>
      </c>
      <c r="C5" s="15" t="s">
        <v>13</v>
      </c>
      <c r="D5" s="16" t="s">
        <v>41</v>
      </c>
      <c r="E5" s="17" t="n">
        <f aca="false">Сводка!B9</f>
        <v>86500</v>
      </c>
      <c r="F5" s="18" t="n">
        <v>1862</v>
      </c>
      <c r="G5" s="15" t="s">
        <v>42</v>
      </c>
      <c r="H5" s="15" t="s">
        <v>43</v>
      </c>
    </row>
    <row r="6" customFormat="false" ht="26.85" hidden="false" customHeight="false" outlineLevel="0" collapsed="false">
      <c r="A6" s="15" t="n">
        <v>5</v>
      </c>
      <c r="B6" s="15" t="s">
        <v>44</v>
      </c>
      <c r="C6" s="15" t="s">
        <v>14</v>
      </c>
      <c r="D6" s="16" t="s">
        <v>45</v>
      </c>
      <c r="E6" s="17" t="n">
        <f aca="false">Сводка!B10</f>
        <v>81000</v>
      </c>
      <c r="F6" s="18" t="n">
        <v>1656</v>
      </c>
      <c r="G6" s="15" t="s">
        <v>46</v>
      </c>
      <c r="H6" s="15" t="s">
        <v>47</v>
      </c>
    </row>
    <row r="7" customFormat="false" ht="15" hidden="false" customHeight="false" outlineLevel="0" collapsed="false">
      <c r="A7" s="15" t="n">
        <v>6</v>
      </c>
      <c r="B7" s="15" t="s">
        <v>48</v>
      </c>
      <c r="C7" s="15" t="s">
        <v>15</v>
      </c>
      <c r="D7" s="16" t="s">
        <v>49</v>
      </c>
      <c r="E7" s="17" t="n">
        <f aca="false">Сводка!B11</f>
        <v>46700</v>
      </c>
      <c r="F7" s="18" t="n">
        <v>2383</v>
      </c>
      <c r="G7" s="15" t="s">
        <v>50</v>
      </c>
      <c r="H7" s="15" t="s">
        <v>51</v>
      </c>
    </row>
    <row r="8" customFormat="false" ht="15" hidden="false" customHeight="false" outlineLevel="0" collapsed="false">
      <c r="A8" s="15" t="n">
        <v>7</v>
      </c>
      <c r="B8" s="15" t="s">
        <v>52</v>
      </c>
      <c r="C8" s="15" t="s">
        <v>16</v>
      </c>
      <c r="D8" s="16" t="s">
        <v>53</v>
      </c>
      <c r="E8" s="17" t="n">
        <f aca="false">Сводка!B12</f>
        <v>19900</v>
      </c>
      <c r="F8" s="18" t="n">
        <v>330</v>
      </c>
      <c r="G8" s="15" t="s">
        <v>54</v>
      </c>
      <c r="H8" s="15" t="s">
        <v>55</v>
      </c>
    </row>
    <row r="9" customFormat="false" ht="15" hidden="false" customHeight="false" outlineLevel="0" collapsed="false">
      <c r="A9" s="15" t="n">
        <v>8</v>
      </c>
      <c r="B9" s="15" t="s">
        <v>56</v>
      </c>
      <c r="C9" s="15" t="s">
        <v>17</v>
      </c>
      <c r="D9" s="16" t="s">
        <v>57</v>
      </c>
      <c r="E9" s="17" t="n">
        <f aca="false">Сводка!B13</f>
        <v>17400</v>
      </c>
      <c r="F9" s="18" t="n">
        <v>1856</v>
      </c>
      <c r="G9" s="15" t="s">
        <v>58</v>
      </c>
      <c r="H9" s="15" t="s">
        <v>59</v>
      </c>
    </row>
    <row r="10" customFormat="false" ht="26.85" hidden="false" customHeight="false" outlineLevel="0" collapsed="false">
      <c r="A10" s="15" t="n">
        <v>9</v>
      </c>
      <c r="B10" s="15" t="s">
        <v>60</v>
      </c>
      <c r="C10" s="15" t="s">
        <v>18</v>
      </c>
      <c r="D10" s="16" t="s">
        <v>61</v>
      </c>
      <c r="E10" s="17" t="n">
        <f aca="false">Сводка!B14</f>
        <v>5041</v>
      </c>
      <c r="F10" s="18" t="n">
        <v>636</v>
      </c>
      <c r="G10" s="15" t="s">
        <v>62</v>
      </c>
      <c r="H10" s="15" t="s">
        <v>63</v>
      </c>
    </row>
    <row r="11" customFormat="false" ht="26.85" hidden="false" customHeight="false" outlineLevel="0" collapsed="false">
      <c r="A11" s="15" t="n">
        <v>10</v>
      </c>
      <c r="B11" s="15" t="s">
        <v>64</v>
      </c>
      <c r="C11" s="15" t="s">
        <v>19</v>
      </c>
      <c r="D11" s="16" t="s">
        <v>65</v>
      </c>
      <c r="E11" s="17" t="n">
        <f aca="false">Сводка!B15</f>
        <v>1100</v>
      </c>
      <c r="F11" s="18" t="n">
        <v>89</v>
      </c>
      <c r="G11" s="15" t="s">
        <v>66</v>
      </c>
      <c r="H11" s="15" t="s">
        <v>67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19" t="s">
        <v>68</v>
      </c>
      <c r="B13" s="2"/>
      <c r="C13" s="2"/>
      <c r="D13" s="2"/>
      <c r="E13" s="2"/>
      <c r="F13" s="2"/>
      <c r="G13" s="2"/>
      <c r="H13" s="2"/>
    </row>
  </sheetData>
  <hyperlinks>
    <hyperlink ref="D2" r:id="rId1" display="https://www.instagram.com/mjolk.ru/"/>
    <hyperlink ref="D3" r:id="rId2" display="https://www.instagram.com/acoolakids/"/>
    <hyperlink ref="D4" r:id="rId3" display="https://www.instagram.com/gulliver_wear/"/>
    <hyperlink ref="D5" r:id="rId4" display="https://www.instagram.com/ostinkids/"/>
    <hyperlink ref="D6" r:id="rId5" display="https://www.instagram.com/rudiks.ru/"/>
    <hyperlink ref="D7" r:id="rId6" display="https://www.instagram.com/playtoday_official/"/>
    <hyperlink ref="D8" r:id="rId7" display="https://www.instagram.com/ohrakids/"/>
    <hyperlink ref="D9" r:id="rId8" display="https://www.instagram.com/tdbatik/"/>
    <hyperlink ref="D10" r:id="rId9" display="https://www.instagram.com/ramelka_baby/"/>
    <hyperlink ref="D11" r:id="rId10" display="https://www.instagram.com/ozitikid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18"/>
  </cols>
  <sheetData>
    <row r="1" customFormat="false" ht="26.85" hidden="false" customHeight="false" outlineLevel="0" collapsed="false">
      <c r="A1" s="4" t="s">
        <v>69</v>
      </c>
      <c r="B1" s="4" t="s">
        <v>70</v>
      </c>
      <c r="C1" s="4" t="s">
        <v>71</v>
      </c>
      <c r="D1" s="4" t="s">
        <v>72</v>
      </c>
    </row>
    <row r="2" customFormat="false" ht="15" hidden="false" customHeight="false" outlineLevel="0" collapsed="false">
      <c r="A2" s="15" t="s">
        <v>73</v>
      </c>
      <c r="B2" s="15" t="s">
        <v>74</v>
      </c>
      <c r="C2" s="15" t="s">
        <v>28</v>
      </c>
      <c r="D2" s="15" t="s">
        <v>75</v>
      </c>
    </row>
    <row r="3" customFormat="false" ht="15" hidden="false" customHeight="false" outlineLevel="0" collapsed="false">
      <c r="A3" s="15" t="s">
        <v>73</v>
      </c>
      <c r="B3" s="15" t="s">
        <v>76</v>
      </c>
      <c r="C3" s="15" t="s">
        <v>77</v>
      </c>
      <c r="D3" s="15" t="s">
        <v>75</v>
      </c>
    </row>
    <row r="4" customFormat="false" ht="15" hidden="false" customHeight="false" outlineLevel="0" collapsed="false">
      <c r="A4" s="15" t="s">
        <v>73</v>
      </c>
      <c r="B4" s="15" t="s">
        <v>78</v>
      </c>
      <c r="C4" s="15" t="s">
        <v>79</v>
      </c>
      <c r="D4" s="15" t="s">
        <v>75</v>
      </c>
    </row>
    <row r="5" customFormat="false" ht="15" hidden="false" customHeight="false" outlineLevel="0" collapsed="false">
      <c r="A5" s="15" t="s">
        <v>73</v>
      </c>
      <c r="B5" s="15" t="s">
        <v>80</v>
      </c>
      <c r="C5" s="15" t="s">
        <v>81</v>
      </c>
      <c r="D5" s="15" t="s">
        <v>75</v>
      </c>
    </row>
    <row r="6" customFormat="false" ht="15" hidden="false" customHeight="false" outlineLevel="0" collapsed="false">
      <c r="A6" s="15" t="s">
        <v>73</v>
      </c>
      <c r="B6" s="15" t="s">
        <v>82</v>
      </c>
      <c r="C6" s="15" t="s">
        <v>40</v>
      </c>
      <c r="D6" s="15" t="s">
        <v>75</v>
      </c>
    </row>
    <row r="7" customFormat="false" ht="15" hidden="false" customHeight="false" outlineLevel="0" collapsed="false">
      <c r="A7" s="15" t="s">
        <v>83</v>
      </c>
      <c r="B7" s="15" t="s">
        <v>84</v>
      </c>
      <c r="C7" s="15" t="s">
        <v>85</v>
      </c>
      <c r="D7" s="15" t="s">
        <v>75</v>
      </c>
    </row>
    <row r="8" customFormat="false" ht="15" hidden="false" customHeight="false" outlineLevel="0" collapsed="false">
      <c r="A8" s="15" t="s">
        <v>83</v>
      </c>
      <c r="B8" s="15" t="s">
        <v>86</v>
      </c>
      <c r="C8" s="15" t="s">
        <v>87</v>
      </c>
      <c r="D8" s="15" t="s">
        <v>75</v>
      </c>
    </row>
    <row r="9" customFormat="false" ht="15" hidden="false" customHeight="false" outlineLevel="0" collapsed="false">
      <c r="A9" s="15" t="s">
        <v>83</v>
      </c>
      <c r="B9" s="15" t="s">
        <v>88</v>
      </c>
      <c r="C9" s="15" t="s">
        <v>44</v>
      </c>
      <c r="D9" s="15" t="s">
        <v>75</v>
      </c>
    </row>
    <row r="10" customFormat="false" ht="15" hidden="false" customHeight="false" outlineLevel="0" collapsed="false">
      <c r="A10" s="15" t="s">
        <v>83</v>
      </c>
      <c r="B10" s="15" t="s">
        <v>89</v>
      </c>
      <c r="C10" s="15" t="s">
        <v>90</v>
      </c>
      <c r="D10" s="15" t="s">
        <v>91</v>
      </c>
    </row>
    <row r="11" customFormat="false" ht="15" hidden="false" customHeight="false" outlineLevel="0" collapsed="false">
      <c r="A11" s="15" t="s">
        <v>92</v>
      </c>
      <c r="B11" s="15" t="s">
        <v>93</v>
      </c>
      <c r="C11" s="15" t="s">
        <v>94</v>
      </c>
      <c r="D11" s="15" t="s">
        <v>75</v>
      </c>
    </row>
    <row r="12" customFormat="false" ht="26.85" hidden="false" customHeight="false" outlineLevel="0" collapsed="false">
      <c r="A12" s="15" t="s">
        <v>92</v>
      </c>
      <c r="B12" s="15" t="s">
        <v>95</v>
      </c>
      <c r="C12" s="15" t="s">
        <v>96</v>
      </c>
      <c r="D12" s="15" t="s">
        <v>75</v>
      </c>
    </row>
    <row r="13" customFormat="false" ht="15" hidden="false" customHeight="false" outlineLevel="0" collapsed="false">
      <c r="A13" s="15" t="s">
        <v>92</v>
      </c>
      <c r="B13" s="15" t="s">
        <v>97</v>
      </c>
      <c r="C13" s="15" t="s">
        <v>56</v>
      </c>
      <c r="D13" s="15" t="s">
        <v>98</v>
      </c>
    </row>
    <row r="14" customFormat="false" ht="15" hidden="false" customHeight="false" outlineLevel="0" collapsed="false">
      <c r="A14" s="15" t="s">
        <v>99</v>
      </c>
      <c r="B14" s="15" t="s">
        <v>100</v>
      </c>
      <c r="C14" s="15" t="s">
        <v>101</v>
      </c>
      <c r="D14" s="15" t="s">
        <v>75</v>
      </c>
    </row>
    <row r="15" customFormat="false" ht="15" hidden="false" customHeight="false" outlineLevel="0" collapsed="false">
      <c r="A15" s="15" t="s">
        <v>99</v>
      </c>
      <c r="B15" s="15" t="s">
        <v>102</v>
      </c>
      <c r="C15" s="15" t="s">
        <v>103</v>
      </c>
      <c r="D15" s="15" t="s">
        <v>91</v>
      </c>
    </row>
    <row r="16" customFormat="false" ht="15" hidden="false" customHeight="false" outlineLevel="0" collapsed="false">
      <c r="A16" s="15" t="s">
        <v>99</v>
      </c>
      <c r="B16" s="15" t="s">
        <v>104</v>
      </c>
      <c r="C16" s="15" t="s">
        <v>105</v>
      </c>
      <c r="D16" s="15" t="s">
        <v>91</v>
      </c>
    </row>
    <row r="17" customFormat="false" ht="15" hidden="false" customHeight="false" outlineLevel="0" collapsed="false">
      <c r="A17" s="15" t="s">
        <v>99</v>
      </c>
      <c r="B17" s="15" t="s">
        <v>106</v>
      </c>
      <c r="C17" s="15" t="s">
        <v>94</v>
      </c>
      <c r="D17" s="15" t="s">
        <v>91</v>
      </c>
    </row>
    <row r="18" customFormat="false" ht="15" hidden="false" customHeight="false" outlineLevel="0" collapsed="false">
      <c r="A18" s="15" t="s">
        <v>99</v>
      </c>
      <c r="B18" s="15" t="s">
        <v>107</v>
      </c>
      <c r="C18" s="15" t="s">
        <v>52</v>
      </c>
      <c r="D18" s="15" t="s">
        <v>91</v>
      </c>
    </row>
    <row r="19" customFormat="false" ht="15" hidden="false" customHeight="false" outlineLevel="0" collapsed="false">
      <c r="A19" s="15" t="s">
        <v>108</v>
      </c>
      <c r="B19" s="15" t="s">
        <v>109</v>
      </c>
      <c r="C19" s="15" t="s">
        <v>110</v>
      </c>
      <c r="D19" s="15" t="s">
        <v>75</v>
      </c>
    </row>
    <row r="20" customFormat="false" ht="15" hidden="false" customHeight="false" outlineLevel="0" collapsed="false">
      <c r="A20" s="15" t="s">
        <v>111</v>
      </c>
      <c r="B20" s="15" t="s">
        <v>112</v>
      </c>
      <c r="C20" s="15" t="s">
        <v>113</v>
      </c>
      <c r="D20" s="15" t="s">
        <v>75</v>
      </c>
    </row>
    <row r="21" customFormat="false" ht="15" hidden="false" customHeight="false" outlineLevel="0" collapsed="false">
      <c r="A21" s="15" t="s">
        <v>111</v>
      </c>
      <c r="B21" s="15" t="s">
        <v>114</v>
      </c>
      <c r="C21" s="15" t="s">
        <v>110</v>
      </c>
      <c r="D21" s="15" t="s">
        <v>75</v>
      </c>
    </row>
    <row r="22" customFormat="false" ht="26.85" hidden="false" customHeight="false" outlineLevel="0" collapsed="false">
      <c r="A22" s="15" t="s">
        <v>111</v>
      </c>
      <c r="B22" s="15" t="s">
        <v>115</v>
      </c>
      <c r="C22" s="15" t="s">
        <v>110</v>
      </c>
      <c r="D22" s="15" t="s">
        <v>75</v>
      </c>
    </row>
    <row r="23" customFormat="false" ht="26.85" hidden="false" customHeight="false" outlineLevel="0" collapsed="false">
      <c r="A23" s="15" t="s">
        <v>111</v>
      </c>
      <c r="B23" s="15" t="s">
        <v>116</v>
      </c>
      <c r="C23" s="15" t="s">
        <v>110</v>
      </c>
      <c r="D23" s="15" t="s">
        <v>75</v>
      </c>
    </row>
    <row r="24" customFormat="false" ht="15" hidden="false" customHeight="false" outlineLevel="0" collapsed="false">
      <c r="A24" s="15" t="s">
        <v>117</v>
      </c>
      <c r="B24" s="15" t="s">
        <v>118</v>
      </c>
      <c r="C24" s="15" t="s">
        <v>119</v>
      </c>
      <c r="D24" s="15" t="s">
        <v>75</v>
      </c>
    </row>
    <row r="25" customFormat="false" ht="26.85" hidden="false" customHeight="false" outlineLevel="0" collapsed="false">
      <c r="A25" s="15" t="s">
        <v>120</v>
      </c>
      <c r="B25" s="15" t="s">
        <v>121</v>
      </c>
      <c r="C25" s="15" t="s">
        <v>122</v>
      </c>
      <c r="D25" s="15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38"/>
    <col collapsed="false" customWidth="true" hidden="false" outlineLevel="0" max="5" min="4" style="0" width="12"/>
    <col collapsed="false" customWidth="true" hidden="false" outlineLevel="0" max="6" min="6" style="0" width="3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1" min="10" style="0" width="12"/>
    <col collapsed="false" customWidth="true" hidden="false" outlineLevel="0" max="12" min="12" style="0" width="9"/>
    <col collapsed="false" customWidth="true" hidden="false" outlineLevel="0" max="13" min="13" style="0" width="15"/>
    <col collapsed="false" customWidth="true" hidden="false" outlineLevel="0" max="14" min="14" style="0" width="12"/>
  </cols>
  <sheetData>
    <row r="1" customFormat="false" ht="26.85" hidden="false" customHeight="false" outlineLevel="0" collapsed="false">
      <c r="A1" s="4" t="s">
        <v>21</v>
      </c>
      <c r="B1" s="4" t="s">
        <v>124</v>
      </c>
      <c r="C1" s="4" t="s">
        <v>125</v>
      </c>
      <c r="D1" s="4" t="s">
        <v>126</v>
      </c>
      <c r="E1" s="4" t="s">
        <v>127</v>
      </c>
      <c r="F1" s="4" t="s">
        <v>24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132</v>
      </c>
      <c r="L1" s="4" t="s">
        <v>133</v>
      </c>
      <c r="M1" s="4" t="s">
        <v>134</v>
      </c>
      <c r="N1" s="4" t="s">
        <v>135</v>
      </c>
    </row>
    <row r="2" customFormat="false" ht="15" hidden="false" customHeight="false" outlineLevel="0" collapsed="false">
      <c r="A2" s="20" t="n">
        <v>46297</v>
      </c>
      <c r="B2" s="21" t="s">
        <v>136</v>
      </c>
      <c r="C2" s="21" t="s">
        <v>137</v>
      </c>
      <c r="D2" s="21" t="n">
        <v>479991654</v>
      </c>
      <c r="E2" s="21" t="n">
        <v>2576298334</v>
      </c>
      <c r="F2" s="22" t="s">
        <v>138</v>
      </c>
      <c r="G2" s="21" t="n">
        <v>5</v>
      </c>
      <c r="H2" s="21" t="n">
        <v>8</v>
      </c>
      <c r="I2" s="21" t="n">
        <v>0</v>
      </c>
      <c r="J2" s="21" t="n">
        <v>1</v>
      </c>
      <c r="K2" s="21" t="n">
        <v>0</v>
      </c>
      <c r="L2" s="21" t="n">
        <v>0</v>
      </c>
      <c r="M2" s="23" t="n">
        <f aca="false">IF(N(G2)&gt;0,(I2+J2+K2+L2)/G2,"")</f>
        <v>0.2</v>
      </c>
      <c r="N2" s="20" t="n">
        <v>46297</v>
      </c>
    </row>
  </sheetData>
  <hyperlinks>
    <hyperlink ref="F2" r:id="rId1" display="https://www.instagram.com/p/DeACb-NoFH1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2026-10-02T18:18:38Z</dcterms:created>
  <dc:creator>openpyxl</dc:creator>
  <dc:description/>
  <dc:language>en-US</dc:language>
  <cp:lastModifiedBy/>
  <dcterms:modified xsi:type="dcterms:W3CDTF">2026-10-02T21:18:41Z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